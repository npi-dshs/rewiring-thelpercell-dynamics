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nndreisigacker/Library/CloudStorage/Dropbox/Meta Th cells/05_analysis_statistics/tables/cells/"/>
    </mc:Choice>
  </mc:AlternateContent>
  <xr:revisionPtr revIDLastSave="0" documentId="13_ncr:1_{6BDF6C89-4101-724A-A5ED-294E87FE7531}" xr6:coauthVersionLast="47" xr6:coauthVersionMax="47" xr10:uidLastSave="{00000000-0000-0000-0000-000000000000}"/>
  <bookViews>
    <workbookView xWindow="-3260" yWindow="-21600" windowWidth="38400" windowHeight="21600" xr2:uid="{EB7B7A23-368D-47F9-880A-7DCB8367B18D}"/>
  </bookViews>
  <sheets>
    <sheet name="General Information" sheetId="9" r:id="rId1"/>
    <sheet name="README" sheetId="2" r:id="rId2"/>
    <sheet name="Estimated_means_sd" sheetId="10" r:id="rId3"/>
    <sheet name="RatioTable" sheetId="11" r:id="rId4"/>
    <sheet name="Th1_pre_post" sheetId="3" r:id="rId5"/>
    <sheet name="Th1_pre_post2h" sheetId="4" r:id="rId6"/>
    <sheet name="Th1_pre_post17h" sheetId="5" r:id="rId7"/>
    <sheet name="Th2_pre_post" sheetId="6" r:id="rId8"/>
    <sheet name="Th2_pre_post2h" sheetId="7" r:id="rId9"/>
    <sheet name="Th2_pre_post17h" sheetId="8" r:id="rId10"/>
    <sheet name="Ratio_pre_post" sheetId="13" r:id="rId11"/>
    <sheet name="Ratio_pre_post2h" sheetId="14" r:id="rId12"/>
    <sheet name="Ratio_pre_post17h" sheetId="15" r:id="rId13"/>
    <sheet name="Effsize_large" sheetId="12" r:id="rId14"/>
    <sheet name="ArchiveEstimates means SDs" sheetId="1" r:id="rId15"/>
  </sheets>
  <definedNames>
    <definedName name="_xlnm._FilterDatabase" localSheetId="13" hidden="1">Effsize_large!$A$1:$U$103</definedName>
    <definedName name="_xlnm._FilterDatabase" localSheetId="2" hidden="1">Estimated_means_sd!$A$1:$R$157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3" i="10" l="1"/>
  <c r="J62" i="12"/>
  <c r="R62" i="12"/>
  <c r="J63" i="12"/>
  <c r="R63" i="12"/>
  <c r="J64" i="12"/>
  <c r="R64" i="12"/>
  <c r="J65" i="12"/>
  <c r="R65" i="12"/>
  <c r="J66" i="12"/>
  <c r="R66" i="12"/>
  <c r="J67" i="12"/>
  <c r="R67" i="12"/>
  <c r="J68" i="12"/>
  <c r="R68" i="12"/>
  <c r="J69" i="12"/>
  <c r="R69" i="12"/>
  <c r="J70" i="12"/>
  <c r="R70" i="12"/>
  <c r="J71" i="12"/>
  <c r="R71" i="12"/>
  <c r="J72" i="12"/>
  <c r="R72" i="12"/>
  <c r="J73" i="12"/>
  <c r="R73" i="12"/>
  <c r="J74" i="12"/>
  <c r="R74" i="12"/>
  <c r="J75" i="12"/>
  <c r="R75" i="12"/>
  <c r="J76" i="12"/>
  <c r="R76" i="12"/>
  <c r="J77" i="12"/>
  <c r="R77" i="12"/>
  <c r="J78" i="12"/>
  <c r="R78" i="12"/>
  <c r="J79" i="12"/>
  <c r="R79" i="12"/>
  <c r="J80" i="12"/>
  <c r="R80" i="12"/>
  <c r="J81" i="12"/>
  <c r="R81" i="12"/>
  <c r="J82" i="12"/>
  <c r="R82" i="12"/>
  <c r="J83" i="12"/>
  <c r="R83" i="12"/>
  <c r="J84" i="12"/>
  <c r="R84" i="12"/>
  <c r="J85" i="12"/>
  <c r="R85" i="12"/>
  <c r="J86" i="12"/>
  <c r="R86" i="12"/>
  <c r="J87" i="12"/>
  <c r="R87" i="12"/>
  <c r="J88" i="12"/>
  <c r="R88" i="12"/>
  <c r="J89" i="12"/>
  <c r="R89" i="12"/>
  <c r="J90" i="12"/>
  <c r="R90" i="12"/>
  <c r="J91" i="12"/>
  <c r="R91" i="12"/>
  <c r="J92" i="12"/>
  <c r="R92" i="12"/>
  <c r="J93" i="12"/>
  <c r="R93" i="12"/>
  <c r="J94" i="12"/>
  <c r="R94" i="12"/>
  <c r="J95" i="12"/>
  <c r="R95" i="12"/>
  <c r="J96" i="12"/>
  <c r="R96" i="12"/>
  <c r="J97" i="12"/>
  <c r="R97" i="12"/>
  <c r="J98" i="12"/>
  <c r="R98" i="12"/>
  <c r="J99" i="12"/>
  <c r="R99" i="12"/>
  <c r="J100" i="12"/>
  <c r="R100" i="12"/>
  <c r="J101" i="12"/>
  <c r="R101" i="12"/>
  <c r="J102" i="12"/>
  <c r="R102" i="12"/>
  <c r="J103" i="12"/>
  <c r="R103" i="12"/>
  <c r="E62" i="12"/>
  <c r="K62" i="12" s="1"/>
  <c r="L62" i="12" s="1"/>
  <c r="M62" i="12" s="1"/>
  <c r="E63" i="12"/>
  <c r="K63" i="12" s="1"/>
  <c r="E64" i="12"/>
  <c r="K64" i="12" s="1"/>
  <c r="L64" i="12" s="1"/>
  <c r="M64" i="12" s="1"/>
  <c r="E65" i="12"/>
  <c r="K65" i="12" s="1"/>
  <c r="E66" i="12"/>
  <c r="K66" i="12" s="1"/>
  <c r="L66" i="12" s="1"/>
  <c r="M66" i="12" s="1"/>
  <c r="E67" i="12"/>
  <c r="K67" i="12" s="1"/>
  <c r="E68" i="12"/>
  <c r="K68" i="12" s="1"/>
  <c r="L68" i="12" s="1"/>
  <c r="M68" i="12" s="1"/>
  <c r="E69" i="12"/>
  <c r="K69" i="12" s="1"/>
  <c r="E70" i="12"/>
  <c r="K70" i="12" s="1"/>
  <c r="L70" i="12" s="1"/>
  <c r="M70" i="12" s="1"/>
  <c r="E71" i="12"/>
  <c r="K71" i="12" s="1"/>
  <c r="E72" i="12"/>
  <c r="K72" i="12" s="1"/>
  <c r="L72" i="12" s="1"/>
  <c r="M72" i="12" s="1"/>
  <c r="E73" i="12"/>
  <c r="K73" i="12" s="1"/>
  <c r="E74" i="12"/>
  <c r="K74" i="12" s="1"/>
  <c r="L74" i="12" s="1"/>
  <c r="M74" i="12" s="1"/>
  <c r="E75" i="12"/>
  <c r="K75" i="12" s="1"/>
  <c r="E76" i="12"/>
  <c r="K76" i="12" s="1"/>
  <c r="L76" i="12" s="1"/>
  <c r="M76" i="12" s="1"/>
  <c r="E77" i="12"/>
  <c r="K77" i="12" s="1"/>
  <c r="E78" i="12"/>
  <c r="K78" i="12" s="1"/>
  <c r="L78" i="12" s="1"/>
  <c r="M78" i="12" s="1"/>
  <c r="E79" i="12"/>
  <c r="K79" i="12" s="1"/>
  <c r="E80" i="12"/>
  <c r="K80" i="12" s="1"/>
  <c r="L80" i="12" s="1"/>
  <c r="M80" i="12" s="1"/>
  <c r="E81" i="12"/>
  <c r="K81" i="12" s="1"/>
  <c r="E82" i="12"/>
  <c r="K82" i="12" s="1"/>
  <c r="L82" i="12" s="1"/>
  <c r="M82" i="12" s="1"/>
  <c r="E83" i="12"/>
  <c r="K83" i="12" s="1"/>
  <c r="E84" i="12"/>
  <c r="K84" i="12" s="1"/>
  <c r="L84" i="12" s="1"/>
  <c r="M84" i="12" s="1"/>
  <c r="E85" i="12"/>
  <c r="K85" i="12" s="1"/>
  <c r="E86" i="12"/>
  <c r="K86" i="12" s="1"/>
  <c r="L86" i="12" s="1"/>
  <c r="M86" i="12" s="1"/>
  <c r="E87" i="12"/>
  <c r="K87" i="12" s="1"/>
  <c r="E88" i="12"/>
  <c r="K88" i="12" s="1"/>
  <c r="L88" i="12" s="1"/>
  <c r="M88" i="12" s="1"/>
  <c r="E89" i="12"/>
  <c r="K89" i="12" s="1"/>
  <c r="E90" i="12"/>
  <c r="K90" i="12" s="1"/>
  <c r="L90" i="12" s="1"/>
  <c r="M90" i="12" s="1"/>
  <c r="E91" i="12"/>
  <c r="K91" i="12" s="1"/>
  <c r="E92" i="12"/>
  <c r="K92" i="12" s="1"/>
  <c r="L92" i="12" s="1"/>
  <c r="M92" i="12" s="1"/>
  <c r="E93" i="12"/>
  <c r="K93" i="12" s="1"/>
  <c r="E94" i="12"/>
  <c r="K94" i="12" s="1"/>
  <c r="L94" i="12" s="1"/>
  <c r="M94" i="12" s="1"/>
  <c r="E95" i="12"/>
  <c r="K95" i="12" s="1"/>
  <c r="E96" i="12"/>
  <c r="K96" i="12" s="1"/>
  <c r="L96" i="12" s="1"/>
  <c r="M96" i="12" s="1"/>
  <c r="E97" i="12"/>
  <c r="K97" i="12" s="1"/>
  <c r="E98" i="12"/>
  <c r="K98" i="12" s="1"/>
  <c r="L98" i="12" s="1"/>
  <c r="M98" i="12" s="1"/>
  <c r="E99" i="12"/>
  <c r="K99" i="12" s="1"/>
  <c r="E100" i="12"/>
  <c r="K100" i="12" s="1"/>
  <c r="L100" i="12" s="1"/>
  <c r="M100" i="12" s="1"/>
  <c r="E101" i="12"/>
  <c r="K101" i="12" s="1"/>
  <c r="E102" i="12"/>
  <c r="K102" i="12" s="1"/>
  <c r="L102" i="12" s="1"/>
  <c r="M102" i="12" s="1"/>
  <c r="E103" i="12"/>
  <c r="K103" i="12" s="1"/>
  <c r="O6" i="4"/>
  <c r="P6" i="4" s="1"/>
  <c r="O7" i="4"/>
  <c r="P7" i="4" s="1"/>
  <c r="O8" i="4"/>
  <c r="P8" i="4" s="1"/>
  <c r="O12" i="15"/>
  <c r="P12" i="15" s="1"/>
  <c r="O13" i="15"/>
  <c r="P13" i="15" s="1"/>
  <c r="O14" i="15"/>
  <c r="P14" i="15" s="1"/>
  <c r="N12" i="15"/>
  <c r="N13" i="15"/>
  <c r="N14" i="15"/>
  <c r="K12" i="15"/>
  <c r="K13" i="15"/>
  <c r="K14" i="15"/>
  <c r="O8" i="14"/>
  <c r="P8" i="14" s="1"/>
  <c r="O7" i="14"/>
  <c r="P7" i="14" s="1"/>
  <c r="O6" i="14"/>
  <c r="P6" i="14" s="1"/>
  <c r="K6" i="14"/>
  <c r="N6" i="14"/>
  <c r="K7" i="14"/>
  <c r="N7" i="14"/>
  <c r="K8" i="14"/>
  <c r="N8" i="14"/>
  <c r="O14" i="13"/>
  <c r="P14" i="13" s="1"/>
  <c r="O15" i="13"/>
  <c r="P15" i="13" s="1"/>
  <c r="O16" i="13"/>
  <c r="P16" i="13" s="1"/>
  <c r="O17" i="13"/>
  <c r="P17" i="13" s="1"/>
  <c r="O18" i="13"/>
  <c r="P18" i="13" s="1"/>
  <c r="O19" i="13"/>
  <c r="P19" i="13" s="1"/>
  <c r="O20" i="13"/>
  <c r="P20" i="13" s="1"/>
  <c r="O21" i="13"/>
  <c r="P21" i="13" s="1"/>
  <c r="N14" i="13"/>
  <c r="N15" i="13"/>
  <c r="N16" i="13"/>
  <c r="N17" i="13"/>
  <c r="N18" i="13"/>
  <c r="N19" i="13"/>
  <c r="N20" i="13"/>
  <c r="N21" i="13"/>
  <c r="K14" i="13"/>
  <c r="Q14" i="13" s="1"/>
  <c r="R14" i="13" s="1"/>
  <c r="K15" i="13"/>
  <c r="Q15" i="13" s="1"/>
  <c r="R15" i="13" s="1"/>
  <c r="K16" i="13"/>
  <c r="Q16" i="13" s="1"/>
  <c r="R16" i="13" s="1"/>
  <c r="K17" i="13"/>
  <c r="K18" i="13"/>
  <c r="Q18" i="13" s="1"/>
  <c r="K19" i="13"/>
  <c r="Q19" i="13" s="1"/>
  <c r="R19" i="13" s="1"/>
  <c r="K20" i="13"/>
  <c r="K21" i="13"/>
  <c r="Q21" i="13" s="1"/>
  <c r="R21" i="13" s="1"/>
  <c r="O12" i="8"/>
  <c r="P12" i="8" s="1"/>
  <c r="O13" i="8"/>
  <c r="P13" i="8" s="1"/>
  <c r="O14" i="8"/>
  <c r="P14" i="8" s="1"/>
  <c r="K12" i="8"/>
  <c r="N12" i="8"/>
  <c r="K13" i="8"/>
  <c r="N13" i="8"/>
  <c r="K14" i="8"/>
  <c r="N14" i="8"/>
  <c r="O6" i="7"/>
  <c r="P6" i="7" s="1"/>
  <c r="O7" i="7"/>
  <c r="P7" i="7" s="1"/>
  <c r="O8" i="7"/>
  <c r="P8" i="7" s="1"/>
  <c r="N6" i="7"/>
  <c r="N7" i="7"/>
  <c r="N8" i="7"/>
  <c r="K6" i="7"/>
  <c r="K7" i="7"/>
  <c r="K8" i="7"/>
  <c r="O14" i="6"/>
  <c r="P14" i="6" s="1"/>
  <c r="O15" i="6"/>
  <c r="P15" i="6" s="1"/>
  <c r="O16" i="6"/>
  <c r="P16" i="6" s="1"/>
  <c r="O17" i="6"/>
  <c r="P17" i="6" s="1"/>
  <c r="O18" i="6"/>
  <c r="P18" i="6" s="1"/>
  <c r="O19" i="6"/>
  <c r="P19" i="6" s="1"/>
  <c r="O20" i="6"/>
  <c r="P20" i="6" s="1"/>
  <c r="O21" i="6"/>
  <c r="P21" i="6" s="1"/>
  <c r="N14" i="6"/>
  <c r="N15" i="6"/>
  <c r="N16" i="6"/>
  <c r="N17" i="6"/>
  <c r="N18" i="6"/>
  <c r="N19" i="6"/>
  <c r="N20" i="6"/>
  <c r="N21" i="6"/>
  <c r="K14" i="6"/>
  <c r="Q14" i="6" s="1"/>
  <c r="R14" i="6" s="1"/>
  <c r="K15" i="6"/>
  <c r="K16" i="6"/>
  <c r="Q16" i="6" s="1"/>
  <c r="R16" i="6" s="1"/>
  <c r="K17" i="6"/>
  <c r="Q17" i="6" s="1"/>
  <c r="R17" i="6" s="1"/>
  <c r="K18" i="6"/>
  <c r="Q18" i="6" s="1"/>
  <c r="R18" i="6" s="1"/>
  <c r="K19" i="6"/>
  <c r="Q19" i="6" s="1"/>
  <c r="R19" i="6" s="1"/>
  <c r="K20" i="6"/>
  <c r="Q20" i="6" s="1"/>
  <c r="R20" i="6" s="1"/>
  <c r="K21" i="6"/>
  <c r="Q21" i="6" s="1"/>
  <c r="R21" i="6" s="1"/>
  <c r="O13" i="5"/>
  <c r="O12" i="5"/>
  <c r="P12" i="5" s="1"/>
  <c r="Q12" i="5" s="1"/>
  <c r="R12" i="5" s="1"/>
  <c r="K12" i="5"/>
  <c r="N12" i="5"/>
  <c r="N13" i="5"/>
  <c r="P13" i="5"/>
  <c r="N14" i="5"/>
  <c r="O14" i="5"/>
  <c r="P14" i="5" s="1"/>
  <c r="K13" i="5"/>
  <c r="K14" i="5"/>
  <c r="O5" i="4"/>
  <c r="N6" i="4"/>
  <c r="N7" i="4"/>
  <c r="N8" i="4"/>
  <c r="K6" i="4"/>
  <c r="K7" i="4"/>
  <c r="K8" i="4"/>
  <c r="O14" i="3"/>
  <c r="P14" i="3" s="1"/>
  <c r="O15" i="3"/>
  <c r="P15" i="3" s="1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N14" i="3"/>
  <c r="N15" i="3"/>
  <c r="N16" i="3"/>
  <c r="N17" i="3"/>
  <c r="N18" i="3"/>
  <c r="N19" i="3"/>
  <c r="N20" i="3"/>
  <c r="N21" i="3"/>
  <c r="K14" i="3"/>
  <c r="K15" i="3"/>
  <c r="K16" i="3"/>
  <c r="K17" i="3"/>
  <c r="K18" i="3"/>
  <c r="K19" i="3"/>
  <c r="K20" i="3"/>
  <c r="K21" i="3"/>
  <c r="K4" i="3"/>
  <c r="Q26" i="10"/>
  <c r="Q24" i="10"/>
  <c r="R112" i="10"/>
  <c r="R113" i="10"/>
  <c r="R114" i="10"/>
  <c r="Q112" i="10"/>
  <c r="Q113" i="10"/>
  <c r="Q114" i="10"/>
  <c r="R60" i="10"/>
  <c r="R61" i="10"/>
  <c r="R62" i="10"/>
  <c r="Q60" i="10"/>
  <c r="Q61" i="10"/>
  <c r="Q62" i="10"/>
  <c r="R8" i="10"/>
  <c r="R9" i="10"/>
  <c r="R10" i="10"/>
  <c r="Q8" i="10"/>
  <c r="Q9" i="10"/>
  <c r="Q10" i="10"/>
  <c r="K53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Q146" i="10"/>
  <c r="R146" i="10"/>
  <c r="Q147" i="10"/>
  <c r="R147" i="10"/>
  <c r="Q148" i="10"/>
  <c r="R148" i="10"/>
  <c r="Q149" i="10"/>
  <c r="R149" i="10"/>
  <c r="Q150" i="10"/>
  <c r="R150" i="10"/>
  <c r="Q151" i="10"/>
  <c r="R151" i="10"/>
  <c r="Q152" i="10"/>
  <c r="R152" i="10"/>
  <c r="Q153" i="10"/>
  <c r="R153" i="10"/>
  <c r="Q154" i="10"/>
  <c r="R154" i="10"/>
  <c r="Q155" i="10"/>
  <c r="R155" i="10"/>
  <c r="Q156" i="10"/>
  <c r="R156" i="10"/>
  <c r="Q157" i="10"/>
  <c r="R157" i="10"/>
  <c r="R145" i="10"/>
  <c r="Q145" i="10"/>
  <c r="R94" i="10"/>
  <c r="R95" i="10"/>
  <c r="R96" i="10"/>
  <c r="R97" i="10"/>
  <c r="R98" i="10"/>
  <c r="R99" i="10"/>
  <c r="R100" i="10"/>
  <c r="R101" i="10"/>
  <c r="R93" i="10"/>
  <c r="Q94" i="10"/>
  <c r="Q95" i="10"/>
  <c r="Q96" i="10"/>
  <c r="Q97" i="10"/>
  <c r="Q98" i="10"/>
  <c r="Q99" i="10"/>
  <c r="Q100" i="10"/>
  <c r="Q101" i="10"/>
  <c r="Q93" i="10"/>
  <c r="Q103" i="10"/>
  <c r="R103" i="10"/>
  <c r="Q104" i="10"/>
  <c r="R104" i="10"/>
  <c r="Q105" i="10"/>
  <c r="R105" i="10"/>
  <c r="R102" i="10"/>
  <c r="Q102" i="10"/>
  <c r="R51" i="10"/>
  <c r="R52" i="10"/>
  <c r="R53" i="10"/>
  <c r="R50" i="10"/>
  <c r="R49" i="10"/>
  <c r="R48" i="10"/>
  <c r="R47" i="10"/>
  <c r="R42" i="10"/>
  <c r="R43" i="10"/>
  <c r="R44" i="10"/>
  <c r="R45" i="10"/>
  <c r="R46" i="10"/>
  <c r="R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41" i="10"/>
  <c r="R26" i="10"/>
  <c r="R27" i="10"/>
  <c r="R28" i="10"/>
  <c r="R29" i="10"/>
  <c r="R30" i="10"/>
  <c r="R31" i="10"/>
  <c r="Q27" i="10"/>
  <c r="Q28" i="10"/>
  <c r="Q29" i="10"/>
  <c r="Q30" i="10"/>
  <c r="Q31" i="10"/>
  <c r="R78" i="10"/>
  <c r="R79" i="10"/>
  <c r="R80" i="10"/>
  <c r="R81" i="10"/>
  <c r="R82" i="10"/>
  <c r="R83" i="10"/>
  <c r="Q78" i="10"/>
  <c r="Q79" i="10"/>
  <c r="Q80" i="10"/>
  <c r="Q81" i="10"/>
  <c r="Q82" i="10"/>
  <c r="Q83" i="10"/>
  <c r="R130" i="10"/>
  <c r="R131" i="10"/>
  <c r="R132" i="10"/>
  <c r="R133" i="10"/>
  <c r="R134" i="10"/>
  <c r="R135" i="10"/>
  <c r="Q130" i="10"/>
  <c r="Q131" i="10"/>
  <c r="Q132" i="10"/>
  <c r="Q133" i="10"/>
  <c r="Q134" i="10"/>
  <c r="Q135" i="10"/>
  <c r="R66" i="10"/>
  <c r="Q66" i="10"/>
  <c r="K6" i="13"/>
  <c r="O5" i="13"/>
  <c r="P5" i="13" s="1"/>
  <c r="O6" i="13"/>
  <c r="P6" i="13" s="1"/>
  <c r="O7" i="13"/>
  <c r="P7" i="13" s="1"/>
  <c r="O8" i="13"/>
  <c r="P8" i="13" s="1"/>
  <c r="O9" i="13"/>
  <c r="P9" i="13" s="1"/>
  <c r="O10" i="13"/>
  <c r="P10" i="13" s="1"/>
  <c r="O11" i="13"/>
  <c r="P11" i="13" s="1"/>
  <c r="O12" i="13"/>
  <c r="P12" i="13" s="1"/>
  <c r="O13" i="13"/>
  <c r="P13" i="13" s="1"/>
  <c r="N5" i="13"/>
  <c r="N6" i="13"/>
  <c r="N7" i="13"/>
  <c r="N8" i="13"/>
  <c r="N9" i="13"/>
  <c r="N10" i="13"/>
  <c r="N11" i="13"/>
  <c r="N12" i="13"/>
  <c r="N13" i="13"/>
  <c r="K5" i="13"/>
  <c r="K7" i="13"/>
  <c r="K8" i="13"/>
  <c r="Q8" i="13" s="1"/>
  <c r="R8" i="13" s="1"/>
  <c r="K9" i="13"/>
  <c r="K10" i="13"/>
  <c r="K11" i="13"/>
  <c r="K12" i="13"/>
  <c r="K13" i="13"/>
  <c r="Q115" i="10"/>
  <c r="Q116" i="10"/>
  <c r="O5" i="8"/>
  <c r="P5" i="8" s="1"/>
  <c r="O6" i="8"/>
  <c r="P6" i="8" s="1"/>
  <c r="O7" i="8"/>
  <c r="P7" i="8" s="1"/>
  <c r="O8" i="8"/>
  <c r="P8" i="8" s="1"/>
  <c r="O9" i="8"/>
  <c r="P9" i="8" s="1"/>
  <c r="O10" i="8"/>
  <c r="P10" i="8" s="1"/>
  <c r="O11" i="8"/>
  <c r="P11" i="8" s="1"/>
  <c r="N5" i="8"/>
  <c r="N6" i="8"/>
  <c r="N7" i="8"/>
  <c r="N8" i="8"/>
  <c r="N9" i="8"/>
  <c r="N10" i="8"/>
  <c r="N11" i="8"/>
  <c r="K5" i="8"/>
  <c r="K6" i="8"/>
  <c r="K7" i="8"/>
  <c r="K8" i="8"/>
  <c r="K9" i="8"/>
  <c r="K10" i="8"/>
  <c r="K11" i="8"/>
  <c r="P6" i="6"/>
  <c r="O5" i="6"/>
  <c r="P5" i="6" s="1"/>
  <c r="O6" i="6"/>
  <c r="O7" i="6"/>
  <c r="P7" i="6" s="1"/>
  <c r="O8" i="6"/>
  <c r="P8" i="6" s="1"/>
  <c r="O9" i="6"/>
  <c r="P9" i="6" s="1"/>
  <c r="O10" i="6"/>
  <c r="P10" i="6" s="1"/>
  <c r="O11" i="6"/>
  <c r="P11" i="6" s="1"/>
  <c r="O12" i="6"/>
  <c r="P12" i="6" s="1"/>
  <c r="O13" i="6"/>
  <c r="P13" i="6" s="1"/>
  <c r="N5" i="6"/>
  <c r="N6" i="6"/>
  <c r="N7" i="6"/>
  <c r="N8" i="6"/>
  <c r="N9" i="6"/>
  <c r="N10" i="6"/>
  <c r="N11" i="6"/>
  <c r="N12" i="6"/>
  <c r="N13" i="6"/>
  <c r="K5" i="6"/>
  <c r="K6" i="6"/>
  <c r="K7" i="6"/>
  <c r="K8" i="6"/>
  <c r="K9" i="6"/>
  <c r="K10" i="6"/>
  <c r="K11" i="6"/>
  <c r="K12" i="6"/>
  <c r="K13" i="6"/>
  <c r="O5" i="5"/>
  <c r="P5" i="5" s="1"/>
  <c r="O6" i="5"/>
  <c r="P6" i="5" s="1"/>
  <c r="O7" i="5"/>
  <c r="P7" i="5" s="1"/>
  <c r="O8" i="5"/>
  <c r="P8" i="5" s="1"/>
  <c r="O9" i="5"/>
  <c r="P9" i="5" s="1"/>
  <c r="O10" i="5"/>
  <c r="P10" i="5" s="1"/>
  <c r="O11" i="5"/>
  <c r="P11" i="5" s="1"/>
  <c r="N5" i="5"/>
  <c r="N6" i="5"/>
  <c r="N7" i="5"/>
  <c r="N8" i="5"/>
  <c r="N9" i="5"/>
  <c r="N10" i="5"/>
  <c r="N11" i="5"/>
  <c r="K5" i="5"/>
  <c r="K6" i="5"/>
  <c r="K7" i="5"/>
  <c r="K8" i="5"/>
  <c r="K9" i="5"/>
  <c r="K10" i="5"/>
  <c r="Q10" i="5" s="1"/>
  <c r="R10" i="5" s="1"/>
  <c r="K11" i="5"/>
  <c r="K5" i="3"/>
  <c r="K6" i="3"/>
  <c r="K7" i="3"/>
  <c r="K8" i="3"/>
  <c r="K9" i="3"/>
  <c r="K10" i="3"/>
  <c r="K11" i="3"/>
  <c r="K12" i="3"/>
  <c r="K13" i="3"/>
  <c r="O5" i="3"/>
  <c r="P5" i="3" s="1"/>
  <c r="O6" i="3"/>
  <c r="P6" i="3" s="1"/>
  <c r="O7" i="3"/>
  <c r="P7" i="3" s="1"/>
  <c r="O8" i="3"/>
  <c r="P8" i="3" s="1"/>
  <c r="O9" i="3"/>
  <c r="P9" i="3" s="1"/>
  <c r="Q9" i="3" s="1"/>
  <c r="R9" i="3" s="1"/>
  <c r="O10" i="3"/>
  <c r="P10" i="3" s="1"/>
  <c r="Q10" i="3" s="1"/>
  <c r="R10" i="3" s="1"/>
  <c r="O11" i="3"/>
  <c r="P11" i="3" s="1"/>
  <c r="O12" i="3"/>
  <c r="P12" i="3" s="1"/>
  <c r="O13" i="3"/>
  <c r="P13" i="3" s="1"/>
  <c r="N5" i="3"/>
  <c r="N6" i="3"/>
  <c r="N7" i="3"/>
  <c r="N8" i="3"/>
  <c r="N9" i="3"/>
  <c r="N10" i="3"/>
  <c r="N11" i="3"/>
  <c r="N12" i="3"/>
  <c r="N13" i="3"/>
  <c r="R138" i="10"/>
  <c r="R110" i="10"/>
  <c r="R111" i="10"/>
  <c r="R115" i="10"/>
  <c r="R116" i="10"/>
  <c r="R117" i="10"/>
  <c r="R118" i="10"/>
  <c r="R119" i="10"/>
  <c r="R120" i="10"/>
  <c r="R121" i="10"/>
  <c r="R122" i="10"/>
  <c r="R123" i="10"/>
  <c r="Q110" i="10"/>
  <c r="Q111" i="10"/>
  <c r="Q117" i="10"/>
  <c r="Q118" i="10"/>
  <c r="Q119" i="10"/>
  <c r="Q120" i="10"/>
  <c r="Q121" i="10"/>
  <c r="Q122" i="10"/>
  <c r="Q123" i="10"/>
  <c r="R59" i="10"/>
  <c r="R64" i="10"/>
  <c r="R65" i="10"/>
  <c r="R67" i="10"/>
  <c r="R68" i="10"/>
  <c r="R69" i="10"/>
  <c r="R70" i="10"/>
  <c r="R71" i="10"/>
  <c r="R72" i="10"/>
  <c r="R73" i="10"/>
  <c r="Q59" i="10"/>
  <c r="Q63" i="10"/>
  <c r="Q64" i="10"/>
  <c r="Q65" i="10"/>
  <c r="Q67" i="10"/>
  <c r="Q68" i="10"/>
  <c r="Q69" i="10"/>
  <c r="Q70" i="10"/>
  <c r="Q71" i="10"/>
  <c r="R6" i="10"/>
  <c r="R7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Q6" i="10"/>
  <c r="Q7" i="10"/>
  <c r="Q11" i="10"/>
  <c r="Q12" i="10"/>
  <c r="Q13" i="10"/>
  <c r="Q14" i="10"/>
  <c r="Q15" i="10"/>
  <c r="Q16" i="10"/>
  <c r="Q17" i="10"/>
  <c r="Q18" i="10"/>
  <c r="Q19" i="10"/>
  <c r="Q20" i="10"/>
  <c r="Q21" i="10"/>
  <c r="Q3" i="10"/>
  <c r="Q4" i="10"/>
  <c r="Q5" i="10"/>
  <c r="Q22" i="10"/>
  <c r="Q23" i="10"/>
  <c r="Q25" i="10"/>
  <c r="Q32" i="10"/>
  <c r="Q33" i="10"/>
  <c r="Q34" i="10"/>
  <c r="Q35" i="10"/>
  <c r="Q36" i="10"/>
  <c r="Q37" i="10"/>
  <c r="Q38" i="10"/>
  <c r="Q39" i="10"/>
  <c r="Q40" i="10"/>
  <c r="Q54" i="10"/>
  <c r="Q55" i="10"/>
  <c r="Q56" i="10"/>
  <c r="Q57" i="10"/>
  <c r="Q58" i="10"/>
  <c r="Q72" i="10"/>
  <c r="Q73" i="10"/>
  <c r="Q74" i="10"/>
  <c r="Q75" i="10"/>
  <c r="Q76" i="10"/>
  <c r="Q77" i="10"/>
  <c r="Q84" i="10"/>
  <c r="Q85" i="10"/>
  <c r="Q86" i="10"/>
  <c r="Q87" i="10"/>
  <c r="Q88" i="10"/>
  <c r="Q89" i="10"/>
  <c r="Q90" i="10"/>
  <c r="Q91" i="10"/>
  <c r="Q92" i="10"/>
  <c r="Q106" i="10"/>
  <c r="Q107" i="10"/>
  <c r="Q108" i="10"/>
  <c r="Q109" i="10"/>
  <c r="Q124" i="10"/>
  <c r="Q125" i="10"/>
  <c r="Q126" i="10"/>
  <c r="Q127" i="10"/>
  <c r="Q128" i="10"/>
  <c r="Q129" i="10"/>
  <c r="Q136" i="10"/>
  <c r="Q137" i="10"/>
  <c r="Q138" i="10"/>
  <c r="Q139" i="10"/>
  <c r="Q140" i="10"/>
  <c r="Q141" i="10"/>
  <c r="Q142" i="10"/>
  <c r="Q143" i="10"/>
  <c r="Q144" i="10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O6" i="15"/>
  <c r="P6" i="15" s="1"/>
  <c r="O7" i="15"/>
  <c r="P7" i="15" s="1"/>
  <c r="O8" i="15"/>
  <c r="P8" i="15" s="1"/>
  <c r="O9" i="15"/>
  <c r="P9" i="15" s="1"/>
  <c r="O10" i="15"/>
  <c r="P10" i="15" s="1"/>
  <c r="O11" i="15"/>
  <c r="P11" i="15" s="1"/>
  <c r="N6" i="15"/>
  <c r="N7" i="15"/>
  <c r="N8" i="15"/>
  <c r="N9" i="15"/>
  <c r="N10" i="15"/>
  <c r="N11" i="15"/>
  <c r="K6" i="15"/>
  <c r="K7" i="15"/>
  <c r="K8" i="15"/>
  <c r="K9" i="15"/>
  <c r="K10" i="15"/>
  <c r="K11" i="15"/>
  <c r="O5" i="15"/>
  <c r="P5" i="15" s="1"/>
  <c r="N5" i="15"/>
  <c r="K5" i="15"/>
  <c r="O4" i="15"/>
  <c r="P4" i="15" s="1"/>
  <c r="N4" i="15"/>
  <c r="K4" i="15"/>
  <c r="O5" i="14"/>
  <c r="P5" i="14" s="1"/>
  <c r="N5" i="14"/>
  <c r="K5" i="14"/>
  <c r="O4" i="14"/>
  <c r="P4" i="14" s="1"/>
  <c r="N4" i="14"/>
  <c r="K4" i="14"/>
  <c r="O4" i="13"/>
  <c r="P4" i="13" s="1"/>
  <c r="N4" i="13"/>
  <c r="K4" i="13"/>
  <c r="R124" i="10"/>
  <c r="R125" i="10"/>
  <c r="R126" i="10"/>
  <c r="R127" i="10"/>
  <c r="R128" i="10"/>
  <c r="R129" i="10"/>
  <c r="R136" i="10"/>
  <c r="R137" i="10"/>
  <c r="R139" i="10"/>
  <c r="R140" i="10"/>
  <c r="R141" i="10"/>
  <c r="R142" i="10"/>
  <c r="R143" i="10"/>
  <c r="R144" i="10"/>
  <c r="R109" i="10"/>
  <c r="J33" i="11"/>
  <c r="E61" i="12"/>
  <c r="K61" i="12" s="1"/>
  <c r="N61" i="12" s="1"/>
  <c r="E60" i="12"/>
  <c r="K60" i="12" s="1"/>
  <c r="E59" i="12"/>
  <c r="K59" i="12" s="1"/>
  <c r="N59" i="12" s="1"/>
  <c r="E58" i="12"/>
  <c r="K58" i="12" s="1"/>
  <c r="E57" i="12"/>
  <c r="K57" i="12" s="1"/>
  <c r="L57" i="12" s="1"/>
  <c r="M57" i="12" s="1"/>
  <c r="E56" i="12"/>
  <c r="K56" i="12" s="1"/>
  <c r="L56" i="12" s="1"/>
  <c r="M56" i="12" s="1"/>
  <c r="E55" i="12"/>
  <c r="K55" i="12" s="1"/>
  <c r="E54" i="12"/>
  <c r="K54" i="12" s="1"/>
  <c r="E53" i="12"/>
  <c r="K53" i="12" s="1"/>
  <c r="N53" i="12" s="1"/>
  <c r="E52" i="12"/>
  <c r="K52" i="12" s="1"/>
  <c r="E51" i="12"/>
  <c r="K51" i="12" s="1"/>
  <c r="N51" i="12" s="1"/>
  <c r="E50" i="12"/>
  <c r="K50" i="12" s="1"/>
  <c r="N50" i="12" s="1"/>
  <c r="E47" i="12"/>
  <c r="K47" i="12" s="1"/>
  <c r="E46" i="12"/>
  <c r="K46" i="12" s="1"/>
  <c r="E49" i="12"/>
  <c r="K49" i="12" s="1"/>
  <c r="L49" i="12" s="1"/>
  <c r="M49" i="12" s="1"/>
  <c r="E48" i="12"/>
  <c r="K48" i="12" s="1"/>
  <c r="L48" i="12" s="1"/>
  <c r="M48" i="12" s="1"/>
  <c r="E45" i="12"/>
  <c r="K45" i="12" s="1"/>
  <c r="N45" i="12" s="1"/>
  <c r="E44" i="12"/>
  <c r="K44" i="12" s="1"/>
  <c r="E43" i="12"/>
  <c r="K43" i="12" s="1"/>
  <c r="N43" i="12" s="1"/>
  <c r="E42" i="12"/>
  <c r="K42" i="12" s="1"/>
  <c r="E41" i="12"/>
  <c r="K41" i="12" s="1"/>
  <c r="L41" i="12" s="1"/>
  <c r="M41" i="12" s="1"/>
  <c r="E40" i="12"/>
  <c r="K40" i="12" s="1"/>
  <c r="L40" i="12" s="1"/>
  <c r="M40" i="12" s="1"/>
  <c r="E39" i="12"/>
  <c r="K39" i="12" s="1"/>
  <c r="E38" i="12"/>
  <c r="K38" i="12" s="1"/>
  <c r="E37" i="12"/>
  <c r="K37" i="12" s="1"/>
  <c r="N37" i="12" s="1"/>
  <c r="E36" i="12"/>
  <c r="K36" i="12" s="1"/>
  <c r="E35" i="12"/>
  <c r="K35" i="12" s="1"/>
  <c r="N35" i="12" s="1"/>
  <c r="E34" i="12"/>
  <c r="K34" i="12" s="1"/>
  <c r="N34" i="12" s="1"/>
  <c r="E33" i="12"/>
  <c r="K33" i="12" s="1"/>
  <c r="L33" i="12" s="1"/>
  <c r="M33" i="12" s="1"/>
  <c r="E32" i="12"/>
  <c r="K32" i="12" s="1"/>
  <c r="L32" i="12" s="1"/>
  <c r="M32" i="12" s="1"/>
  <c r="E31" i="12"/>
  <c r="K31" i="12" s="1"/>
  <c r="N31" i="12" s="1"/>
  <c r="E30" i="12"/>
  <c r="K30" i="12" s="1"/>
  <c r="E27" i="12"/>
  <c r="K27" i="12" s="1"/>
  <c r="N27" i="12" s="1"/>
  <c r="E26" i="12"/>
  <c r="K26" i="12" s="1"/>
  <c r="N26" i="12" s="1"/>
  <c r="E29" i="12"/>
  <c r="K29" i="12" s="1"/>
  <c r="L29" i="12" s="1"/>
  <c r="M29" i="12" s="1"/>
  <c r="E28" i="12"/>
  <c r="K28" i="12" s="1"/>
  <c r="E25" i="12"/>
  <c r="K25" i="12" s="1"/>
  <c r="L25" i="12" s="1"/>
  <c r="M25" i="12" s="1"/>
  <c r="E24" i="12"/>
  <c r="K24" i="12" s="1"/>
  <c r="E23" i="12"/>
  <c r="K23" i="12" s="1"/>
  <c r="E22" i="12"/>
  <c r="K22" i="12" s="1"/>
  <c r="E21" i="12"/>
  <c r="K21" i="12" s="1"/>
  <c r="L21" i="12" s="1"/>
  <c r="M21" i="12" s="1"/>
  <c r="E20" i="12"/>
  <c r="K20" i="12" s="1"/>
  <c r="E19" i="12"/>
  <c r="K19" i="12" s="1"/>
  <c r="N19" i="12" s="1"/>
  <c r="E18" i="12"/>
  <c r="K18" i="12" s="1"/>
  <c r="N18" i="12" s="1"/>
  <c r="E17" i="12"/>
  <c r="K17" i="12" s="1"/>
  <c r="L17" i="12" s="1"/>
  <c r="M17" i="12" s="1"/>
  <c r="E16" i="12"/>
  <c r="K16" i="12" s="1"/>
  <c r="L16" i="12" s="1"/>
  <c r="M16" i="12" s="1"/>
  <c r="E15" i="12"/>
  <c r="K15" i="12" s="1"/>
  <c r="N15" i="12" s="1"/>
  <c r="E14" i="12"/>
  <c r="K14" i="12" s="1"/>
  <c r="E13" i="12"/>
  <c r="K13" i="12" s="1"/>
  <c r="N13" i="12" s="1"/>
  <c r="E12" i="12"/>
  <c r="K12" i="12" s="1"/>
  <c r="E11" i="12"/>
  <c r="K11" i="12" s="1"/>
  <c r="N11" i="12" s="1"/>
  <c r="E10" i="12"/>
  <c r="K10" i="12" s="1"/>
  <c r="E7" i="12"/>
  <c r="K7" i="12" s="1"/>
  <c r="E6" i="12"/>
  <c r="K6" i="12" s="1"/>
  <c r="E9" i="12"/>
  <c r="K9" i="12" s="1"/>
  <c r="L9" i="12" s="1"/>
  <c r="M9" i="12" s="1"/>
  <c r="E8" i="12"/>
  <c r="K8" i="12" s="1"/>
  <c r="E5" i="12"/>
  <c r="K5" i="12" s="1"/>
  <c r="N5" i="12" s="1"/>
  <c r="E4" i="12"/>
  <c r="K4" i="12" s="1"/>
  <c r="E3" i="12"/>
  <c r="K3" i="12" s="1"/>
  <c r="N3" i="12" s="1"/>
  <c r="E2" i="12"/>
  <c r="U12" i="5" l="1"/>
  <c r="V12" i="5" s="1"/>
  <c r="Q9" i="6"/>
  <c r="R9" i="6" s="1"/>
  <c r="Q9" i="13"/>
  <c r="R9" i="13" s="1"/>
  <c r="Q21" i="3"/>
  <c r="Q5" i="5"/>
  <c r="R5" i="5" s="1"/>
  <c r="Q9" i="8"/>
  <c r="R9" i="8" s="1"/>
  <c r="Q14" i="8"/>
  <c r="T14" i="8" s="1"/>
  <c r="Q7" i="6"/>
  <c r="R7" i="6" s="1"/>
  <c r="Q6" i="14"/>
  <c r="T6" i="14" s="1"/>
  <c r="Q12" i="6"/>
  <c r="R12" i="6" s="1"/>
  <c r="Q6" i="6"/>
  <c r="R6" i="6" s="1"/>
  <c r="Q19" i="3"/>
  <c r="Q14" i="3"/>
  <c r="Q8" i="6"/>
  <c r="R8" i="6" s="1"/>
  <c r="Q7" i="4"/>
  <c r="R7" i="4" s="1"/>
  <c r="Q14" i="15"/>
  <c r="R14" i="15" s="1"/>
  <c r="U14" i="15" s="1"/>
  <c r="V14" i="15" s="1"/>
  <c r="Q13" i="15"/>
  <c r="R13" i="15" s="1"/>
  <c r="U13" i="15" s="1"/>
  <c r="V13" i="15" s="1"/>
  <c r="Q12" i="15"/>
  <c r="R12" i="15" s="1"/>
  <c r="U12" i="15" s="1"/>
  <c r="V12" i="15" s="1"/>
  <c r="T18" i="13"/>
  <c r="R18" i="13"/>
  <c r="U18" i="13" s="1"/>
  <c r="V18" i="13" s="1"/>
  <c r="Q20" i="13"/>
  <c r="R20" i="13" s="1"/>
  <c r="U20" i="13" s="1"/>
  <c r="V20" i="13" s="1"/>
  <c r="Q17" i="13"/>
  <c r="R17" i="13" s="1"/>
  <c r="U17" i="13"/>
  <c r="V17" i="13" s="1"/>
  <c r="U16" i="13"/>
  <c r="V16" i="13" s="1"/>
  <c r="U19" i="13"/>
  <c r="V19" i="13" s="1"/>
  <c r="Q11" i="13"/>
  <c r="R11" i="13" s="1"/>
  <c r="U11" i="13" s="1"/>
  <c r="V11" i="13" s="1"/>
  <c r="Q5" i="13"/>
  <c r="U21" i="13"/>
  <c r="V21" i="13" s="1"/>
  <c r="U15" i="13"/>
  <c r="V15" i="13" s="1"/>
  <c r="U14" i="13"/>
  <c r="V14" i="13" s="1"/>
  <c r="Q13" i="13"/>
  <c r="R13" i="13" s="1"/>
  <c r="U13" i="13" s="1"/>
  <c r="V13" i="13" s="1"/>
  <c r="T19" i="13"/>
  <c r="T16" i="13"/>
  <c r="T15" i="13"/>
  <c r="T14" i="13"/>
  <c r="T21" i="13"/>
  <c r="Q8" i="8"/>
  <c r="Q10" i="8"/>
  <c r="Q11" i="8"/>
  <c r="T11" i="8" s="1"/>
  <c r="Q6" i="7"/>
  <c r="T6" i="7" s="1"/>
  <c r="Q8" i="7"/>
  <c r="R8" i="7"/>
  <c r="U8" i="7" s="1"/>
  <c r="V8" i="7" s="1"/>
  <c r="T8" i="7"/>
  <c r="Q7" i="7"/>
  <c r="R7" i="7" s="1"/>
  <c r="U7" i="7" s="1"/>
  <c r="V7" i="7" s="1"/>
  <c r="Q15" i="6"/>
  <c r="R15" i="6" s="1"/>
  <c r="T16" i="6"/>
  <c r="U14" i="6"/>
  <c r="V14" i="6" s="1"/>
  <c r="U21" i="6"/>
  <c r="V21" i="6" s="1"/>
  <c r="U20" i="6"/>
  <c r="V20" i="6" s="1"/>
  <c r="U19" i="6"/>
  <c r="V19" i="6" s="1"/>
  <c r="Q11" i="6"/>
  <c r="R11" i="6" s="1"/>
  <c r="U18" i="6"/>
  <c r="V18" i="6" s="1"/>
  <c r="Q10" i="6"/>
  <c r="R10" i="6" s="1"/>
  <c r="U17" i="6"/>
  <c r="V17" i="6" s="1"/>
  <c r="U16" i="6"/>
  <c r="V16" i="6" s="1"/>
  <c r="T21" i="6"/>
  <c r="T14" i="6"/>
  <c r="T20" i="6"/>
  <c r="T19" i="6"/>
  <c r="U15" i="6"/>
  <c r="V15" i="6" s="1"/>
  <c r="T18" i="6"/>
  <c r="T17" i="6"/>
  <c r="Q6" i="5"/>
  <c r="R6" i="5" s="1"/>
  <c r="Q9" i="5"/>
  <c r="R9" i="5" s="1"/>
  <c r="Q8" i="5"/>
  <c r="R8" i="5" s="1"/>
  <c r="Q14" i="5"/>
  <c r="R14" i="5" s="1"/>
  <c r="U14" i="5" s="1"/>
  <c r="V14" i="5" s="1"/>
  <c r="Q7" i="5"/>
  <c r="R7" i="5" s="1"/>
  <c r="Q13" i="5"/>
  <c r="R13" i="5" s="1"/>
  <c r="U13" i="5" s="1"/>
  <c r="V13" i="5" s="1"/>
  <c r="Q8" i="4"/>
  <c r="R8" i="4" s="1"/>
  <c r="Q6" i="4"/>
  <c r="R6" i="4" s="1"/>
  <c r="Q20" i="3"/>
  <c r="Q16" i="3"/>
  <c r="R16" i="3" s="1"/>
  <c r="U16" i="3" s="1"/>
  <c r="V16" i="3" s="1"/>
  <c r="Q17" i="3"/>
  <c r="T17" i="3" s="1"/>
  <c r="Q15" i="3"/>
  <c r="T15" i="3" s="1"/>
  <c r="T19" i="3"/>
  <c r="T21" i="3"/>
  <c r="N97" i="12"/>
  <c r="O97" i="12" s="1"/>
  <c r="P97" i="12" s="1"/>
  <c r="L97" i="12"/>
  <c r="M97" i="12" s="1"/>
  <c r="N89" i="12"/>
  <c r="O89" i="12" s="1"/>
  <c r="L89" i="12"/>
  <c r="M89" i="12" s="1"/>
  <c r="N81" i="12"/>
  <c r="O81" i="12" s="1"/>
  <c r="P81" i="12" s="1"/>
  <c r="L81" i="12"/>
  <c r="M81" i="12" s="1"/>
  <c r="N73" i="12"/>
  <c r="O73" i="12" s="1"/>
  <c r="S73" i="12" s="1"/>
  <c r="L73" i="12"/>
  <c r="M73" i="12" s="1"/>
  <c r="N65" i="12"/>
  <c r="O65" i="12" s="1"/>
  <c r="P65" i="12" s="1"/>
  <c r="L65" i="12"/>
  <c r="M65" i="12" s="1"/>
  <c r="N95" i="12"/>
  <c r="O95" i="12" s="1"/>
  <c r="S95" i="12" s="1"/>
  <c r="L95" i="12"/>
  <c r="M95" i="12" s="1"/>
  <c r="N79" i="12"/>
  <c r="O79" i="12" s="1"/>
  <c r="S79" i="12" s="1"/>
  <c r="L79" i="12"/>
  <c r="M79" i="12" s="1"/>
  <c r="N87" i="12"/>
  <c r="O87" i="12" s="1"/>
  <c r="P87" i="12" s="1"/>
  <c r="L87" i="12"/>
  <c r="M87" i="12" s="1"/>
  <c r="N63" i="12"/>
  <c r="O63" i="12" s="1"/>
  <c r="P63" i="12" s="1"/>
  <c r="L63" i="12"/>
  <c r="M63" i="12" s="1"/>
  <c r="N101" i="12"/>
  <c r="O101" i="12" s="1"/>
  <c r="L101" i="12"/>
  <c r="M101" i="12" s="1"/>
  <c r="N85" i="12"/>
  <c r="O85" i="12" s="1"/>
  <c r="P85" i="12" s="1"/>
  <c r="L85" i="12"/>
  <c r="M85" i="12" s="1"/>
  <c r="N69" i="12"/>
  <c r="O69" i="12" s="1"/>
  <c r="P69" i="12" s="1"/>
  <c r="L69" i="12"/>
  <c r="M69" i="12" s="1"/>
  <c r="N99" i="12"/>
  <c r="O99" i="12" s="1"/>
  <c r="S99" i="12" s="1"/>
  <c r="L99" i="12"/>
  <c r="M99" i="12" s="1"/>
  <c r="N91" i="12"/>
  <c r="O91" i="12" s="1"/>
  <c r="P91" i="12" s="1"/>
  <c r="L91" i="12"/>
  <c r="M91" i="12" s="1"/>
  <c r="N83" i="12"/>
  <c r="O83" i="12" s="1"/>
  <c r="P83" i="12" s="1"/>
  <c r="L83" i="12"/>
  <c r="M83" i="12" s="1"/>
  <c r="N75" i="12"/>
  <c r="O75" i="12" s="1"/>
  <c r="P75" i="12" s="1"/>
  <c r="L75" i="12"/>
  <c r="M75" i="12" s="1"/>
  <c r="N67" i="12"/>
  <c r="O67" i="12" s="1"/>
  <c r="S67" i="12" s="1"/>
  <c r="L67" i="12"/>
  <c r="M67" i="12" s="1"/>
  <c r="N103" i="12"/>
  <c r="O103" i="12" s="1"/>
  <c r="S103" i="12" s="1"/>
  <c r="L103" i="12"/>
  <c r="M103" i="12" s="1"/>
  <c r="N71" i="12"/>
  <c r="O71" i="12" s="1"/>
  <c r="P71" i="12" s="1"/>
  <c r="L71" i="12"/>
  <c r="M71" i="12" s="1"/>
  <c r="N93" i="12"/>
  <c r="O93" i="12" s="1"/>
  <c r="S93" i="12" s="1"/>
  <c r="L93" i="12"/>
  <c r="M93" i="12" s="1"/>
  <c r="N77" i="12"/>
  <c r="O77" i="12" s="1"/>
  <c r="S77" i="12" s="1"/>
  <c r="L77" i="12"/>
  <c r="M77" i="12" s="1"/>
  <c r="P103" i="12"/>
  <c r="P89" i="12"/>
  <c r="S89" i="12"/>
  <c r="P67" i="12"/>
  <c r="P101" i="12"/>
  <c r="S101" i="12"/>
  <c r="N102" i="12"/>
  <c r="O102" i="12" s="1"/>
  <c r="N100" i="12"/>
  <c r="O100" i="12" s="1"/>
  <c r="N98" i="12"/>
  <c r="O98" i="12" s="1"/>
  <c r="N96" i="12"/>
  <c r="O96" i="12" s="1"/>
  <c r="N94" i="12"/>
  <c r="O94" i="12" s="1"/>
  <c r="N92" i="12"/>
  <c r="O92" i="12" s="1"/>
  <c r="N90" i="12"/>
  <c r="O90" i="12" s="1"/>
  <c r="N88" i="12"/>
  <c r="O88" i="12" s="1"/>
  <c r="N86" i="12"/>
  <c r="O86" i="12" s="1"/>
  <c r="N84" i="12"/>
  <c r="O84" i="12" s="1"/>
  <c r="N82" i="12"/>
  <c r="O82" i="12" s="1"/>
  <c r="N80" i="12"/>
  <c r="O80" i="12" s="1"/>
  <c r="N78" i="12"/>
  <c r="O78" i="12" s="1"/>
  <c r="N76" i="12"/>
  <c r="O76" i="12" s="1"/>
  <c r="N74" i="12"/>
  <c r="O74" i="12" s="1"/>
  <c r="N72" i="12"/>
  <c r="O72" i="12" s="1"/>
  <c r="N70" i="12"/>
  <c r="O70" i="12" s="1"/>
  <c r="N68" i="12"/>
  <c r="O68" i="12" s="1"/>
  <c r="N66" i="12"/>
  <c r="O66" i="12" s="1"/>
  <c r="N64" i="12"/>
  <c r="O64" i="12" s="1"/>
  <c r="N62" i="12"/>
  <c r="O62" i="12" s="1"/>
  <c r="T12" i="15"/>
  <c r="R14" i="8"/>
  <c r="U14" i="8" s="1"/>
  <c r="V14" i="8" s="1"/>
  <c r="T12" i="5"/>
  <c r="Q7" i="15"/>
  <c r="R7" i="15" s="1"/>
  <c r="U7" i="15" s="1"/>
  <c r="V7" i="15" s="1"/>
  <c r="Q8" i="14"/>
  <c r="R8" i="14" s="1"/>
  <c r="U8" i="14" s="1"/>
  <c r="V8" i="14" s="1"/>
  <c r="Q7" i="14"/>
  <c r="R7" i="14" s="1"/>
  <c r="U7" i="14" s="1"/>
  <c r="V7" i="14" s="1"/>
  <c r="Q10" i="13"/>
  <c r="R10" i="13" s="1"/>
  <c r="U10" i="13" s="1"/>
  <c r="V10" i="13" s="1"/>
  <c r="T5" i="13"/>
  <c r="R5" i="13"/>
  <c r="U5" i="13" s="1"/>
  <c r="V5" i="13" s="1"/>
  <c r="T13" i="13"/>
  <c r="Q12" i="13"/>
  <c r="R12" i="13" s="1"/>
  <c r="U12" i="13" s="1"/>
  <c r="V12" i="13" s="1"/>
  <c r="Q13" i="8"/>
  <c r="Q12" i="8"/>
  <c r="R11" i="8"/>
  <c r="U11" i="8" s="1"/>
  <c r="V11" i="8" s="1"/>
  <c r="T10" i="8"/>
  <c r="R10" i="8"/>
  <c r="U10" i="8" s="1"/>
  <c r="V10" i="8" s="1"/>
  <c r="U9" i="8"/>
  <c r="V9" i="8" s="1"/>
  <c r="Q7" i="8"/>
  <c r="Q6" i="8"/>
  <c r="Q5" i="8"/>
  <c r="T9" i="8"/>
  <c r="Q13" i="6"/>
  <c r="R13" i="6" s="1"/>
  <c r="Q5" i="6"/>
  <c r="R5" i="6" s="1"/>
  <c r="Q11" i="5"/>
  <c r="R11" i="5" s="1"/>
  <c r="R20" i="3"/>
  <c r="U20" i="3" s="1"/>
  <c r="V20" i="3" s="1"/>
  <c r="T20" i="3"/>
  <c r="R17" i="3"/>
  <c r="U17" i="3" s="1"/>
  <c r="V17" i="3" s="1"/>
  <c r="Q18" i="3"/>
  <c r="R15" i="3"/>
  <c r="U15" i="3" s="1"/>
  <c r="V15" i="3" s="1"/>
  <c r="T14" i="3"/>
  <c r="R14" i="3"/>
  <c r="U14" i="3" s="1"/>
  <c r="V14" i="3" s="1"/>
  <c r="R21" i="3"/>
  <c r="U21" i="3" s="1"/>
  <c r="V21" i="3" s="1"/>
  <c r="R19" i="3"/>
  <c r="U19" i="3" s="1"/>
  <c r="V19" i="3" s="1"/>
  <c r="Q6" i="3"/>
  <c r="R6" i="3" s="1"/>
  <c r="Q5" i="3"/>
  <c r="R5" i="3" s="1"/>
  <c r="Q7" i="3"/>
  <c r="R7" i="3" s="1"/>
  <c r="Q13" i="3"/>
  <c r="R13" i="3" s="1"/>
  <c r="Q8" i="3"/>
  <c r="R8" i="3" s="1"/>
  <c r="Q12" i="3"/>
  <c r="R12" i="3" s="1"/>
  <c r="Q11" i="3"/>
  <c r="R11" i="3" s="1"/>
  <c r="O27" i="12"/>
  <c r="P27" i="12" s="1"/>
  <c r="T27" i="12" s="1"/>
  <c r="U27" i="12" s="1"/>
  <c r="Q7" i="13"/>
  <c r="R7" i="13" s="1"/>
  <c r="U7" i="13" s="1"/>
  <c r="V7" i="13" s="1"/>
  <c r="Q6" i="13"/>
  <c r="R6" i="13" s="1"/>
  <c r="U6" i="13" s="1"/>
  <c r="V6" i="13" s="1"/>
  <c r="U8" i="13"/>
  <c r="V8" i="13" s="1"/>
  <c r="T8" i="13"/>
  <c r="U9" i="13"/>
  <c r="V9" i="13" s="1"/>
  <c r="T9" i="13"/>
  <c r="Q6" i="15"/>
  <c r="T6" i="15" s="1"/>
  <c r="Q11" i="15"/>
  <c r="T11" i="15" s="1"/>
  <c r="Q10" i="15"/>
  <c r="R10" i="15" s="1"/>
  <c r="U10" i="15" s="1"/>
  <c r="V10" i="15" s="1"/>
  <c r="N29" i="12"/>
  <c r="O29" i="12" s="1"/>
  <c r="P29" i="12" s="1"/>
  <c r="Q29" i="12" s="1"/>
  <c r="L24" i="12"/>
  <c r="M24" i="12" s="1"/>
  <c r="N24" i="12"/>
  <c r="O24" i="12" s="1"/>
  <c r="S24" i="12" s="1"/>
  <c r="L43" i="12"/>
  <c r="M43" i="12" s="1"/>
  <c r="N9" i="12"/>
  <c r="O9" i="12" s="1"/>
  <c r="P9" i="12" s="1"/>
  <c r="Q9" i="12" s="1"/>
  <c r="O43" i="12"/>
  <c r="P43" i="12" s="1"/>
  <c r="Q43" i="12" s="1"/>
  <c r="O35" i="12"/>
  <c r="P35" i="12" s="1"/>
  <c r="T35" i="12" s="1"/>
  <c r="U35" i="12" s="1"/>
  <c r="O11" i="12"/>
  <c r="P11" i="12" s="1"/>
  <c r="T11" i="12" s="1"/>
  <c r="U11" i="12" s="1"/>
  <c r="O3" i="12"/>
  <c r="P3" i="12" s="1"/>
  <c r="T3" i="12" s="1"/>
  <c r="U3" i="12" s="1"/>
  <c r="O26" i="12"/>
  <c r="S26" i="12" s="1"/>
  <c r="N55" i="12"/>
  <c r="O55" i="12" s="1"/>
  <c r="L55" i="12"/>
  <c r="M55" i="12" s="1"/>
  <c r="N39" i="12"/>
  <c r="O39" i="12" s="1"/>
  <c r="P39" i="12" s="1"/>
  <c r="Q39" i="12" s="1"/>
  <c r="L39" i="12"/>
  <c r="M39" i="12" s="1"/>
  <c r="N23" i="12"/>
  <c r="O23" i="12" s="1"/>
  <c r="P23" i="12" s="1"/>
  <c r="Q23" i="12" s="1"/>
  <c r="L23" i="12"/>
  <c r="M23" i="12" s="1"/>
  <c r="L8" i="12"/>
  <c r="M8" i="12" s="1"/>
  <c r="N8" i="12"/>
  <c r="O8" i="12" s="1"/>
  <c r="P8" i="12" s="1"/>
  <c r="Q8" i="12" s="1"/>
  <c r="N10" i="12"/>
  <c r="O10" i="12" s="1"/>
  <c r="S10" i="12" s="1"/>
  <c r="L10" i="12"/>
  <c r="M10" i="12" s="1"/>
  <c r="N42" i="12"/>
  <c r="O42" i="12" s="1"/>
  <c r="L42" i="12"/>
  <c r="M42" i="12" s="1"/>
  <c r="N58" i="12"/>
  <c r="O58" i="12" s="1"/>
  <c r="L58" i="12"/>
  <c r="M58" i="12" s="1"/>
  <c r="L26" i="12"/>
  <c r="M26" i="12" s="1"/>
  <c r="N49" i="12"/>
  <c r="O49" i="12" s="1"/>
  <c r="P49" i="12" s="1"/>
  <c r="Q49" i="12" s="1"/>
  <c r="O34" i="12"/>
  <c r="P34" i="12" s="1"/>
  <c r="Q34" i="12" s="1"/>
  <c r="O19" i="12"/>
  <c r="P19" i="12" s="1"/>
  <c r="Q19" i="12" s="1"/>
  <c r="O51" i="12"/>
  <c r="P51" i="12" s="1"/>
  <c r="T51" i="12" s="1"/>
  <c r="U51" i="12" s="1"/>
  <c r="O59" i="12"/>
  <c r="P59" i="12" s="1"/>
  <c r="Q59" i="12" s="1"/>
  <c r="O18" i="12"/>
  <c r="P18" i="12" s="1"/>
  <c r="Q18" i="12" s="1"/>
  <c r="L59" i="12"/>
  <c r="M59" i="12" s="1"/>
  <c r="L11" i="12"/>
  <c r="M11" i="12" s="1"/>
  <c r="O50" i="12"/>
  <c r="S50" i="12" s="1"/>
  <c r="N7" i="12"/>
  <c r="O7" i="12" s="1"/>
  <c r="P7" i="12" s="1"/>
  <c r="Q7" i="12" s="1"/>
  <c r="L7" i="12"/>
  <c r="M7" i="12" s="1"/>
  <c r="N47" i="12"/>
  <c r="O47" i="12" s="1"/>
  <c r="L47" i="12"/>
  <c r="M47" i="12" s="1"/>
  <c r="L27" i="12"/>
  <c r="M27" i="12" s="1"/>
  <c r="N32" i="12"/>
  <c r="O32" i="12" s="1"/>
  <c r="N22" i="12"/>
  <c r="O22" i="12" s="1"/>
  <c r="P22" i="12" s="1"/>
  <c r="Q22" i="12" s="1"/>
  <c r="L22" i="12"/>
  <c r="M22" i="12" s="1"/>
  <c r="L44" i="12"/>
  <c r="M44" i="12" s="1"/>
  <c r="N44" i="12"/>
  <c r="O44" i="12" s="1"/>
  <c r="O61" i="12"/>
  <c r="P61" i="12" s="1"/>
  <c r="Q61" i="12" s="1"/>
  <c r="O53" i="12"/>
  <c r="P53" i="12" s="1"/>
  <c r="Q53" i="12" s="1"/>
  <c r="O45" i="12"/>
  <c r="P45" i="12" s="1"/>
  <c r="Q45" i="12" s="1"/>
  <c r="O37" i="12"/>
  <c r="P37" i="12" s="1"/>
  <c r="Q37" i="12" s="1"/>
  <c r="O13" i="12"/>
  <c r="P13" i="12" s="1"/>
  <c r="Q13" i="12" s="1"/>
  <c r="O5" i="12"/>
  <c r="P5" i="12" s="1"/>
  <c r="Q5" i="12" s="1"/>
  <c r="L61" i="12"/>
  <c r="M61" i="12" s="1"/>
  <c r="L45" i="12"/>
  <c r="M45" i="12" s="1"/>
  <c r="L13" i="12"/>
  <c r="M13" i="12" s="1"/>
  <c r="N56" i="12"/>
  <c r="O56" i="12" s="1"/>
  <c r="N33" i="12"/>
  <c r="O33" i="12" s="1"/>
  <c r="N38" i="12"/>
  <c r="O38" i="12" s="1"/>
  <c r="P38" i="12" s="1"/>
  <c r="Q38" i="12" s="1"/>
  <c r="L38" i="12"/>
  <c r="M38" i="12" s="1"/>
  <c r="L28" i="12"/>
  <c r="M28" i="12" s="1"/>
  <c r="N28" i="12"/>
  <c r="O28" i="12" s="1"/>
  <c r="L5" i="12"/>
  <c r="M5" i="12" s="1"/>
  <c r="L51" i="12"/>
  <c r="M51" i="12" s="1"/>
  <c r="L35" i="12"/>
  <c r="M35" i="12" s="1"/>
  <c r="L19" i="12"/>
  <c r="M19" i="12" s="1"/>
  <c r="L3" i="12"/>
  <c r="M3" i="12" s="1"/>
  <c r="N41" i="12"/>
  <c r="O41" i="12" s="1"/>
  <c r="P41" i="12" s="1"/>
  <c r="Q41" i="12" s="1"/>
  <c r="N21" i="12"/>
  <c r="O21" i="12" s="1"/>
  <c r="P21" i="12" s="1"/>
  <c r="Q21" i="12" s="1"/>
  <c r="N30" i="12"/>
  <c r="O30" i="12" s="1"/>
  <c r="P30" i="12" s="1"/>
  <c r="Q30" i="12" s="1"/>
  <c r="L30" i="12"/>
  <c r="M30" i="12" s="1"/>
  <c r="L12" i="12"/>
  <c r="M12" i="12" s="1"/>
  <c r="N12" i="12"/>
  <c r="O12" i="12" s="1"/>
  <c r="N25" i="12"/>
  <c r="O25" i="12" s="1"/>
  <c r="P25" i="12" s="1"/>
  <c r="Q25" i="12" s="1"/>
  <c r="L53" i="12"/>
  <c r="M53" i="12" s="1"/>
  <c r="O31" i="12"/>
  <c r="P31" i="12" s="1"/>
  <c r="Q31" i="12" s="1"/>
  <c r="O15" i="12"/>
  <c r="P15" i="12" s="1"/>
  <c r="Q15" i="12" s="1"/>
  <c r="L50" i="12"/>
  <c r="M50" i="12" s="1"/>
  <c r="L34" i="12"/>
  <c r="M34" i="12" s="1"/>
  <c r="L18" i="12"/>
  <c r="M18" i="12" s="1"/>
  <c r="N40" i="12"/>
  <c r="O40" i="12" s="1"/>
  <c r="N17" i="12"/>
  <c r="O17" i="12" s="1"/>
  <c r="P17" i="12" s="1"/>
  <c r="Q17" i="12" s="1"/>
  <c r="N14" i="12"/>
  <c r="O14" i="12" s="1"/>
  <c r="P14" i="12" s="1"/>
  <c r="Q14" i="12" s="1"/>
  <c r="L14" i="12"/>
  <c r="M14" i="12" s="1"/>
  <c r="N54" i="12"/>
  <c r="O54" i="12" s="1"/>
  <c r="P54" i="12" s="1"/>
  <c r="Q54" i="12" s="1"/>
  <c r="L54" i="12"/>
  <c r="M54" i="12" s="1"/>
  <c r="L60" i="12"/>
  <c r="M60" i="12" s="1"/>
  <c r="N60" i="12"/>
  <c r="O60" i="12" s="1"/>
  <c r="P60" i="12" s="1"/>
  <c r="Q60" i="12" s="1"/>
  <c r="N48" i="12"/>
  <c r="O48" i="12" s="1"/>
  <c r="L37" i="12"/>
  <c r="M37" i="12" s="1"/>
  <c r="N6" i="12"/>
  <c r="O6" i="12" s="1"/>
  <c r="P6" i="12" s="1"/>
  <c r="Q6" i="12" s="1"/>
  <c r="L6" i="12"/>
  <c r="M6" i="12" s="1"/>
  <c r="N46" i="12"/>
  <c r="O46" i="12" s="1"/>
  <c r="P46" i="12" s="1"/>
  <c r="Q46" i="12" s="1"/>
  <c r="L46" i="12"/>
  <c r="M46" i="12" s="1"/>
  <c r="L52" i="12"/>
  <c r="M52" i="12" s="1"/>
  <c r="N52" i="12"/>
  <c r="O52" i="12" s="1"/>
  <c r="L36" i="12"/>
  <c r="M36" i="12" s="1"/>
  <c r="N36" i="12"/>
  <c r="O36" i="12" s="1"/>
  <c r="P36" i="12" s="1"/>
  <c r="Q36" i="12" s="1"/>
  <c r="L20" i="12"/>
  <c r="M20" i="12" s="1"/>
  <c r="N20" i="12"/>
  <c r="O20" i="12" s="1"/>
  <c r="L4" i="12"/>
  <c r="M4" i="12" s="1"/>
  <c r="N4" i="12"/>
  <c r="O4" i="12" s="1"/>
  <c r="P4" i="12" s="1"/>
  <c r="Q4" i="12" s="1"/>
  <c r="L31" i="12"/>
  <c r="M31" i="12" s="1"/>
  <c r="L15" i="12"/>
  <c r="M15" i="12" s="1"/>
  <c r="N57" i="12"/>
  <c r="O57" i="12" s="1"/>
  <c r="N16" i="12"/>
  <c r="O16" i="12" s="1"/>
  <c r="Q9" i="15"/>
  <c r="Q8" i="15"/>
  <c r="Q4" i="15"/>
  <c r="T4" i="15" s="1"/>
  <c r="Q5" i="15"/>
  <c r="T5" i="15" s="1"/>
  <c r="Q4" i="14"/>
  <c r="R4" i="14" s="1"/>
  <c r="U4" i="14" s="1"/>
  <c r="V4" i="14" s="1"/>
  <c r="Q5" i="14"/>
  <c r="Q4" i="13"/>
  <c r="T4" i="13" s="1"/>
  <c r="J2" i="12"/>
  <c r="K2" i="12"/>
  <c r="R2" i="12"/>
  <c r="P79" i="12" l="1"/>
  <c r="T15" i="6"/>
  <c r="P77" i="12"/>
  <c r="T16" i="3"/>
  <c r="T13" i="15"/>
  <c r="S63" i="12"/>
  <c r="P99" i="12"/>
  <c r="P95" i="12"/>
  <c r="Q95" i="12" s="1"/>
  <c r="R6" i="14"/>
  <c r="U6" i="14" s="1"/>
  <c r="V6" i="14" s="1"/>
  <c r="T14" i="15"/>
  <c r="S97" i="12"/>
  <c r="S65" i="12"/>
  <c r="T7" i="15"/>
  <c r="T7" i="14"/>
  <c r="T20" i="13"/>
  <c r="R6" i="15"/>
  <c r="U6" i="15" s="1"/>
  <c r="V6" i="15" s="1"/>
  <c r="T8" i="14"/>
  <c r="T11" i="13"/>
  <c r="T12" i="13"/>
  <c r="T10" i="13"/>
  <c r="T17" i="13"/>
  <c r="R4" i="13"/>
  <c r="U4" i="13" s="1"/>
  <c r="V4" i="13" s="1"/>
  <c r="T8" i="8"/>
  <c r="R8" i="8"/>
  <c r="U8" i="8" s="1"/>
  <c r="V8" i="8" s="1"/>
  <c r="R6" i="7"/>
  <c r="U6" i="7" s="1"/>
  <c r="V6" i="7" s="1"/>
  <c r="T7" i="7"/>
  <c r="T13" i="5"/>
  <c r="T14" i="5"/>
  <c r="P93" i="12"/>
  <c r="Q93" i="12" s="1"/>
  <c r="S34" i="12"/>
  <c r="P26" i="12"/>
  <c r="Q26" i="12" s="1"/>
  <c r="S8" i="12"/>
  <c r="S83" i="12"/>
  <c r="S81" i="12"/>
  <c r="S87" i="12"/>
  <c r="P73" i="12"/>
  <c r="T73" i="12" s="1"/>
  <c r="U73" i="12" s="1"/>
  <c r="S71" i="12"/>
  <c r="S85" i="12"/>
  <c r="S75" i="12"/>
  <c r="S69" i="12"/>
  <c r="S91" i="12"/>
  <c r="S84" i="12"/>
  <c r="P84" i="12"/>
  <c r="Q81" i="12"/>
  <c r="T81" i="12"/>
  <c r="U81" i="12" s="1"/>
  <c r="S70" i="12"/>
  <c r="P70" i="12"/>
  <c r="T77" i="12"/>
  <c r="U77" i="12" s="1"/>
  <c r="Q77" i="12"/>
  <c r="S72" i="12"/>
  <c r="P72" i="12"/>
  <c r="Q85" i="12"/>
  <c r="T85" i="12"/>
  <c r="U85" i="12" s="1"/>
  <c r="Q63" i="12"/>
  <c r="T63" i="12"/>
  <c r="U63" i="12" s="1"/>
  <c r="S92" i="12"/>
  <c r="P92" i="12"/>
  <c r="S62" i="12"/>
  <c r="P62" i="12"/>
  <c r="S78" i="12"/>
  <c r="P78" i="12"/>
  <c r="S94" i="12"/>
  <c r="P94" i="12"/>
  <c r="Q71" i="12"/>
  <c r="T71" i="12"/>
  <c r="U71" i="12" s="1"/>
  <c r="Q99" i="12"/>
  <c r="T99" i="12"/>
  <c r="U99" i="12" s="1"/>
  <c r="Q87" i="12"/>
  <c r="T87" i="12"/>
  <c r="U87" i="12" s="1"/>
  <c r="S68" i="12"/>
  <c r="P68" i="12"/>
  <c r="Q79" i="12"/>
  <c r="T79" i="12"/>
  <c r="U79" i="12" s="1"/>
  <c r="S86" i="12"/>
  <c r="P86" i="12"/>
  <c r="S88" i="12"/>
  <c r="P88" i="12"/>
  <c r="S74" i="12"/>
  <c r="P74" i="12"/>
  <c r="T75" i="12"/>
  <c r="U75" i="12" s="1"/>
  <c r="Q75" i="12"/>
  <c r="Q83" i="12"/>
  <c r="T83" i="12"/>
  <c r="U83" i="12" s="1"/>
  <c r="T93" i="12"/>
  <c r="U93" i="12" s="1"/>
  <c r="S64" i="12"/>
  <c r="P64" i="12"/>
  <c r="S80" i="12"/>
  <c r="P80" i="12"/>
  <c r="S96" i="12"/>
  <c r="P96" i="12"/>
  <c r="Q101" i="12"/>
  <c r="T101" i="12"/>
  <c r="U101" i="12" s="1"/>
  <c r="T69" i="12"/>
  <c r="U69" i="12" s="1"/>
  <c r="Q69" i="12"/>
  <c r="S100" i="12"/>
  <c r="P100" i="12"/>
  <c r="T67" i="12"/>
  <c r="U67" i="12" s="1"/>
  <c r="Q67" i="12"/>
  <c r="S102" i="12"/>
  <c r="P102" i="12"/>
  <c r="T95" i="12"/>
  <c r="U95" i="12" s="1"/>
  <c r="Q89" i="12"/>
  <c r="T89" i="12"/>
  <c r="U89" i="12" s="1"/>
  <c r="S90" i="12"/>
  <c r="P90" i="12"/>
  <c r="Q103" i="12"/>
  <c r="T103" i="12"/>
  <c r="U103" i="12" s="1"/>
  <c r="S76" i="12"/>
  <c r="P76" i="12"/>
  <c r="Q97" i="12"/>
  <c r="T97" i="12"/>
  <c r="U97" i="12" s="1"/>
  <c r="S66" i="12"/>
  <c r="P66" i="12"/>
  <c r="S82" i="12"/>
  <c r="P82" i="12"/>
  <c r="S98" i="12"/>
  <c r="P98" i="12"/>
  <c r="Q91" i="12"/>
  <c r="T91" i="12"/>
  <c r="U91" i="12" s="1"/>
  <c r="T65" i="12"/>
  <c r="U65" i="12" s="1"/>
  <c r="Q65" i="12"/>
  <c r="R13" i="8"/>
  <c r="U13" i="8" s="1"/>
  <c r="V13" i="8" s="1"/>
  <c r="T13" i="8"/>
  <c r="R12" i="8"/>
  <c r="U12" i="8" s="1"/>
  <c r="V12" i="8" s="1"/>
  <c r="T12" i="8"/>
  <c r="S3" i="12"/>
  <c r="S27" i="12"/>
  <c r="Q27" i="12"/>
  <c r="T10" i="15"/>
  <c r="R11" i="15"/>
  <c r="U11" i="15" s="1"/>
  <c r="V11" i="15" s="1"/>
  <c r="T4" i="14"/>
  <c r="T7" i="13"/>
  <c r="R6" i="8"/>
  <c r="U6" i="8" s="1"/>
  <c r="V6" i="8" s="1"/>
  <c r="T6" i="8"/>
  <c r="R7" i="8"/>
  <c r="U7" i="8" s="1"/>
  <c r="V7" i="8" s="1"/>
  <c r="T7" i="8"/>
  <c r="T5" i="8"/>
  <c r="R5" i="8"/>
  <c r="U5" i="8" s="1"/>
  <c r="V5" i="8" s="1"/>
  <c r="R18" i="3"/>
  <c r="U18" i="3" s="1"/>
  <c r="V18" i="3" s="1"/>
  <c r="T18" i="3"/>
  <c r="Q3" i="12"/>
  <c r="T6" i="13"/>
  <c r="T5" i="12"/>
  <c r="U5" i="12" s="1"/>
  <c r="T13" i="12"/>
  <c r="U13" i="12" s="1"/>
  <c r="P24" i="12"/>
  <c r="Q24" i="12" s="1"/>
  <c r="T6" i="12"/>
  <c r="U6" i="12" s="1"/>
  <c r="T38" i="12"/>
  <c r="U38" i="12" s="1"/>
  <c r="P10" i="12"/>
  <c r="Q10" i="12" s="1"/>
  <c r="S7" i="12"/>
  <c r="T59" i="12"/>
  <c r="U59" i="12" s="1"/>
  <c r="S18" i="12"/>
  <c r="T8" i="12"/>
  <c r="U8" i="12" s="1"/>
  <c r="T54" i="12"/>
  <c r="U54" i="12" s="1"/>
  <c r="S19" i="12"/>
  <c r="S38" i="12"/>
  <c r="P47" i="12"/>
  <c r="S47" i="12"/>
  <c r="P55" i="12"/>
  <c r="Q55" i="12" s="1"/>
  <c r="S55" i="12"/>
  <c r="T9" i="12"/>
  <c r="U9" i="12" s="1"/>
  <c r="Q11" i="12"/>
  <c r="T43" i="12"/>
  <c r="U43" i="12" s="1"/>
  <c r="S11" i="12"/>
  <c r="P50" i="12"/>
  <c r="Q50" i="12" s="1"/>
  <c r="S35" i="12"/>
  <c r="Q35" i="12"/>
  <c r="T19" i="12"/>
  <c r="U19" i="12" s="1"/>
  <c r="S43" i="12"/>
  <c r="S45" i="12"/>
  <c r="T30" i="12"/>
  <c r="U30" i="12" s="1"/>
  <c r="T31" i="12"/>
  <c r="U31" i="12" s="1"/>
  <c r="S59" i="12"/>
  <c r="S61" i="12"/>
  <c r="S54" i="12"/>
  <c r="S42" i="12"/>
  <c r="P42" i="12"/>
  <c r="Q42" i="12" s="1"/>
  <c r="P44" i="12"/>
  <c r="S44" i="12"/>
  <c r="P58" i="12"/>
  <c r="S58" i="12"/>
  <c r="T53" i="12"/>
  <c r="U53" i="12" s="1"/>
  <c r="S17" i="12"/>
  <c r="S22" i="12"/>
  <c r="S46" i="12"/>
  <c r="S53" i="12"/>
  <c r="S6" i="12"/>
  <c r="T23" i="12"/>
  <c r="U23" i="12" s="1"/>
  <c r="S23" i="12"/>
  <c r="T61" i="12"/>
  <c r="U61" i="12" s="1"/>
  <c r="S5" i="12"/>
  <c r="S39" i="12"/>
  <c r="S51" i="12"/>
  <c r="S13" i="12"/>
  <c r="Q51" i="12"/>
  <c r="T39" i="12"/>
  <c r="U39" i="12" s="1"/>
  <c r="T14" i="12"/>
  <c r="U14" i="12" s="1"/>
  <c r="S9" i="12"/>
  <c r="T22" i="12"/>
  <c r="U22" i="12" s="1"/>
  <c r="P52" i="12"/>
  <c r="S52" i="12"/>
  <c r="P12" i="12"/>
  <c r="S12" i="12"/>
  <c r="P28" i="12"/>
  <c r="S28" i="12"/>
  <c r="P57" i="12"/>
  <c r="S57" i="12"/>
  <c r="P20" i="12"/>
  <c r="S20" i="12"/>
  <c r="P33" i="12"/>
  <c r="S33" i="12"/>
  <c r="S25" i="12"/>
  <c r="T18" i="12"/>
  <c r="U18" i="12" s="1"/>
  <c r="T15" i="12"/>
  <c r="U15" i="12" s="1"/>
  <c r="S30" i="12"/>
  <c r="S37" i="12"/>
  <c r="T21" i="12"/>
  <c r="U21" i="12" s="1"/>
  <c r="S56" i="12"/>
  <c r="P56" i="12"/>
  <c r="S60" i="12"/>
  <c r="T45" i="12"/>
  <c r="U45" i="12" s="1"/>
  <c r="T46" i="12"/>
  <c r="U46" i="12" s="1"/>
  <c r="T60" i="12"/>
  <c r="U60" i="12" s="1"/>
  <c r="S15" i="12"/>
  <c r="T29" i="12"/>
  <c r="U29" i="12" s="1"/>
  <c r="T37" i="12"/>
  <c r="U37" i="12" s="1"/>
  <c r="S49" i="12"/>
  <c r="S31" i="12"/>
  <c r="T17" i="12"/>
  <c r="U17" i="12" s="1"/>
  <c r="S21" i="12"/>
  <c r="T25" i="12"/>
  <c r="U25" i="12" s="1"/>
  <c r="T34" i="12"/>
  <c r="U34" i="12" s="1"/>
  <c r="S32" i="12"/>
  <c r="P32" i="12"/>
  <c r="S41" i="12"/>
  <c r="S4" i="12"/>
  <c r="S36" i="12"/>
  <c r="T7" i="12"/>
  <c r="U7" i="12" s="1"/>
  <c r="S16" i="12"/>
  <c r="P16" i="12"/>
  <c r="S48" i="12"/>
  <c r="P48" i="12"/>
  <c r="T4" i="12"/>
  <c r="U4" i="12" s="1"/>
  <c r="T36" i="12"/>
  <c r="U36" i="12" s="1"/>
  <c r="S40" i="12"/>
  <c r="P40" i="12"/>
  <c r="S14" i="12"/>
  <c r="T41" i="12"/>
  <c r="U41" i="12" s="1"/>
  <c r="S29" i="12"/>
  <c r="T49" i="12"/>
  <c r="U49" i="12" s="1"/>
  <c r="R4" i="15"/>
  <c r="U4" i="15" s="1"/>
  <c r="V4" i="15" s="1"/>
  <c r="T8" i="15"/>
  <c r="R8" i="15"/>
  <c r="U8" i="15" s="1"/>
  <c r="V8" i="15" s="1"/>
  <c r="R9" i="15"/>
  <c r="U9" i="15" s="1"/>
  <c r="V9" i="15" s="1"/>
  <c r="T9" i="15"/>
  <c r="R5" i="15"/>
  <c r="U5" i="15" s="1"/>
  <c r="V5" i="15" s="1"/>
  <c r="T5" i="14"/>
  <c r="R5" i="14"/>
  <c r="U5" i="14" s="1"/>
  <c r="V5" i="14" s="1"/>
  <c r="N2" i="12"/>
  <c r="O2" i="12" s="1"/>
  <c r="P2" i="12" s="1"/>
  <c r="Q2" i="12" s="1"/>
  <c r="L2" i="12"/>
  <c r="M2" i="12" s="1"/>
  <c r="T26" i="12" l="1"/>
  <c r="U26" i="12" s="1"/>
  <c r="Q73" i="12"/>
  <c r="Q74" i="12"/>
  <c r="T74" i="12"/>
  <c r="U74" i="12" s="1"/>
  <c r="Q102" i="12"/>
  <c r="T102" i="12"/>
  <c r="U102" i="12" s="1"/>
  <c r="Q94" i="12"/>
  <c r="T94" i="12"/>
  <c r="U94" i="12" s="1"/>
  <c r="Q90" i="12"/>
  <c r="T90" i="12"/>
  <c r="U90" i="12" s="1"/>
  <c r="Q86" i="12"/>
  <c r="T86" i="12"/>
  <c r="U86" i="12" s="1"/>
  <c r="Q76" i="12"/>
  <c r="T76" i="12"/>
  <c r="U76" i="12" s="1"/>
  <c r="Q68" i="12"/>
  <c r="T68" i="12"/>
  <c r="U68" i="12" s="1"/>
  <c r="Q82" i="12"/>
  <c r="T82" i="12"/>
  <c r="U82" i="12" s="1"/>
  <c r="Q66" i="12"/>
  <c r="T66" i="12"/>
  <c r="U66" i="12" s="1"/>
  <c r="Q96" i="12"/>
  <c r="T96" i="12"/>
  <c r="U96" i="12" s="1"/>
  <c r="Q78" i="12"/>
  <c r="T78" i="12"/>
  <c r="U78" i="12" s="1"/>
  <c r="Q98" i="12"/>
  <c r="T98" i="12"/>
  <c r="U98" i="12" s="1"/>
  <c r="Q64" i="12"/>
  <c r="T64" i="12"/>
  <c r="U64" i="12" s="1"/>
  <c r="Q92" i="12"/>
  <c r="T92" i="12"/>
  <c r="U92" i="12" s="1"/>
  <c r="Q88" i="12"/>
  <c r="T88" i="12"/>
  <c r="U88" i="12" s="1"/>
  <c r="Q70" i="12"/>
  <c r="T70" i="12"/>
  <c r="U70" i="12" s="1"/>
  <c r="Q100" i="12"/>
  <c r="T100" i="12"/>
  <c r="U100" i="12" s="1"/>
  <c r="Q80" i="12"/>
  <c r="T80" i="12"/>
  <c r="U80" i="12" s="1"/>
  <c r="T62" i="12"/>
  <c r="U62" i="12" s="1"/>
  <c r="Q62" i="12"/>
  <c r="Q72" i="12"/>
  <c r="T72" i="12"/>
  <c r="U72" i="12" s="1"/>
  <c r="Q84" i="12"/>
  <c r="T84" i="12"/>
  <c r="U84" i="12" s="1"/>
  <c r="T24" i="12"/>
  <c r="U24" i="12" s="1"/>
  <c r="T10" i="12"/>
  <c r="U10" i="12" s="1"/>
  <c r="T55" i="12"/>
  <c r="U55" i="12" s="1"/>
  <c r="T50" i="12"/>
  <c r="U50" i="12" s="1"/>
  <c r="T42" i="12"/>
  <c r="U42" i="12" s="1"/>
  <c r="Q47" i="12"/>
  <c r="T47" i="12"/>
  <c r="U47" i="12" s="1"/>
  <c r="Q58" i="12"/>
  <c r="T58" i="12"/>
  <c r="U58" i="12" s="1"/>
  <c r="Q44" i="12"/>
  <c r="T44" i="12"/>
  <c r="U44" i="12" s="1"/>
  <c r="Q12" i="12"/>
  <c r="T12" i="12"/>
  <c r="U12" i="12" s="1"/>
  <c r="Q32" i="12"/>
  <c r="T32" i="12"/>
  <c r="U32" i="12" s="1"/>
  <c r="Q56" i="12"/>
  <c r="T56" i="12"/>
  <c r="U56" i="12" s="1"/>
  <c r="Q16" i="12"/>
  <c r="T16" i="12"/>
  <c r="U16" i="12" s="1"/>
  <c r="Q57" i="12"/>
  <c r="T57" i="12"/>
  <c r="U57" i="12" s="1"/>
  <c r="Q48" i="12"/>
  <c r="T48" i="12"/>
  <c r="U48" i="12" s="1"/>
  <c r="Q28" i="12"/>
  <c r="T28" i="12"/>
  <c r="U28" i="12" s="1"/>
  <c r="Q33" i="12"/>
  <c r="T33" i="12"/>
  <c r="U33" i="12" s="1"/>
  <c r="Q40" i="12"/>
  <c r="T40" i="12"/>
  <c r="U40" i="12" s="1"/>
  <c r="Q20" i="12"/>
  <c r="T20" i="12"/>
  <c r="U20" i="12" s="1"/>
  <c r="Q52" i="12"/>
  <c r="T52" i="12"/>
  <c r="U52" i="12" s="1"/>
  <c r="S2" i="12"/>
  <c r="T2" i="12"/>
  <c r="U2" i="12" s="1"/>
  <c r="K33" i="11"/>
  <c r="K34" i="11"/>
  <c r="K35" i="11"/>
  <c r="K36" i="11"/>
  <c r="K37" i="11"/>
  <c r="K38" i="11"/>
  <c r="K39" i="11"/>
  <c r="K32" i="11"/>
  <c r="J40" i="11" l="1"/>
  <c r="J39" i="11"/>
  <c r="J38" i="11"/>
  <c r="J37" i="11"/>
  <c r="J36" i="11"/>
  <c r="J35" i="11"/>
  <c r="J34" i="11"/>
  <c r="J32" i="11"/>
  <c r="R107" i="10"/>
  <c r="R108" i="10"/>
  <c r="R106" i="10"/>
  <c r="Q2" i="10"/>
  <c r="R92" i="10"/>
  <c r="R91" i="10"/>
  <c r="R90" i="10"/>
  <c r="R89" i="10"/>
  <c r="R88" i="10"/>
  <c r="R87" i="10"/>
  <c r="R86" i="10"/>
  <c r="R85" i="10"/>
  <c r="R84" i="10"/>
  <c r="R77" i="10"/>
  <c r="R76" i="10"/>
  <c r="R75" i="10"/>
  <c r="R74" i="10"/>
  <c r="R58" i="10"/>
  <c r="R57" i="10"/>
  <c r="R56" i="10"/>
  <c r="R55" i="10"/>
  <c r="R54" i="10"/>
  <c r="R40" i="10"/>
  <c r="R39" i="10"/>
  <c r="R38" i="10"/>
  <c r="R37" i="10"/>
  <c r="R36" i="10"/>
  <c r="R35" i="10"/>
  <c r="R34" i="10"/>
  <c r="R33" i="10"/>
  <c r="R32" i="10"/>
  <c r="R25" i="10"/>
  <c r="R24" i="10"/>
  <c r="R23" i="10"/>
  <c r="R5" i="10"/>
  <c r="R4" i="10"/>
  <c r="R3" i="10"/>
  <c r="R2" i="10"/>
  <c r="O4" i="8" l="1"/>
  <c r="P4" i="8" s="1"/>
  <c r="N4" i="8"/>
  <c r="K4" i="8"/>
  <c r="K5" i="7"/>
  <c r="N5" i="7"/>
  <c r="O5" i="7"/>
  <c r="P5" i="7" s="1"/>
  <c r="O4" i="7"/>
  <c r="P4" i="7" s="1"/>
  <c r="N4" i="7"/>
  <c r="K4" i="7"/>
  <c r="O4" i="6"/>
  <c r="P4" i="6" s="1"/>
  <c r="N4" i="6"/>
  <c r="K4" i="6"/>
  <c r="O4" i="5"/>
  <c r="P4" i="5" s="1"/>
  <c r="N4" i="5"/>
  <c r="K4" i="5"/>
  <c r="K5" i="4"/>
  <c r="Q5" i="4" s="1"/>
  <c r="N5" i="4"/>
  <c r="P5" i="4"/>
  <c r="O4" i="4"/>
  <c r="P4" i="4" s="1"/>
  <c r="N4" i="4"/>
  <c r="K4" i="4"/>
  <c r="O4" i="3"/>
  <c r="N4" i="3"/>
  <c r="P2" i="1"/>
  <c r="Q4" i="6" l="1"/>
  <c r="T8" i="6"/>
  <c r="U11" i="6"/>
  <c r="V11" i="6" s="1"/>
  <c r="U8" i="5"/>
  <c r="V8" i="5" s="1"/>
  <c r="U6" i="5"/>
  <c r="V6" i="5" s="1"/>
  <c r="T9" i="5"/>
  <c r="U7" i="5"/>
  <c r="V7" i="5" s="1"/>
  <c r="U5" i="5"/>
  <c r="V5" i="5" s="1"/>
  <c r="U10" i="5"/>
  <c r="V10" i="5" s="1"/>
  <c r="T13" i="6"/>
  <c r="T9" i="6"/>
  <c r="Q4" i="8"/>
  <c r="Q5" i="7"/>
  <c r="T5" i="7" s="1"/>
  <c r="Q4" i="7"/>
  <c r="T10" i="6"/>
  <c r="U10" i="6"/>
  <c r="V10" i="6" s="1"/>
  <c r="T7" i="6"/>
  <c r="U12" i="6"/>
  <c r="V12" i="6" s="1"/>
  <c r="R4" i="6"/>
  <c r="U4" i="6" s="1"/>
  <c r="V4" i="6" s="1"/>
  <c r="T4" i="6"/>
  <c r="T5" i="5"/>
  <c r="T7" i="5"/>
  <c r="Q4" i="5"/>
  <c r="Q4" i="4"/>
  <c r="R4" i="4" s="1"/>
  <c r="U4" i="4" s="1"/>
  <c r="V4" i="4" s="1"/>
  <c r="R5" i="4"/>
  <c r="U5" i="4" s="1"/>
  <c r="V5" i="4" s="1"/>
  <c r="U8" i="6" l="1"/>
  <c r="V8" i="6" s="1"/>
  <c r="T11" i="6"/>
  <c r="U9" i="6"/>
  <c r="V9" i="6" s="1"/>
  <c r="U13" i="6"/>
  <c r="V13" i="6" s="1"/>
  <c r="T8" i="5"/>
  <c r="U9" i="5"/>
  <c r="V9" i="5" s="1"/>
  <c r="T6" i="5"/>
  <c r="T10" i="5"/>
  <c r="T4" i="4"/>
  <c r="T5" i="4"/>
  <c r="R5" i="7"/>
  <c r="U5" i="7" s="1"/>
  <c r="V5" i="7" s="1"/>
  <c r="T4" i="8"/>
  <c r="R4" i="8"/>
  <c r="U4" i="8" s="1"/>
  <c r="V4" i="8" s="1"/>
  <c r="T4" i="7"/>
  <c r="R4" i="7"/>
  <c r="U4" i="7" s="1"/>
  <c r="V4" i="7" s="1"/>
  <c r="T12" i="6"/>
  <c r="U7" i="6"/>
  <c r="V7" i="6" s="1"/>
  <c r="U5" i="6"/>
  <c r="V5" i="6" s="1"/>
  <c r="T5" i="6"/>
  <c r="U6" i="6"/>
  <c r="V6" i="6" s="1"/>
  <c r="T6" i="6"/>
  <c r="T11" i="5"/>
  <c r="U11" i="5"/>
  <c r="V11" i="5" s="1"/>
  <c r="T4" i="5"/>
  <c r="R4" i="5"/>
  <c r="U4" i="5" s="1"/>
  <c r="V4" i="5" s="1"/>
  <c r="Q56" i="1" l="1"/>
  <c r="Q58" i="1"/>
  <c r="Q57" i="1"/>
  <c r="Q59" i="1"/>
  <c r="Q32" i="1"/>
  <c r="Q33" i="1"/>
  <c r="Q34" i="1"/>
  <c r="Q2" i="1"/>
  <c r="Q3" i="1"/>
  <c r="Q4" i="1"/>
  <c r="Q26" i="1"/>
  <c r="Q28" i="1"/>
  <c r="Q27" i="1"/>
  <c r="Q29" i="1"/>
  <c r="P29" i="1"/>
  <c r="Q25" i="1"/>
  <c r="P25" i="1"/>
  <c r="Q60" i="1"/>
  <c r="P60" i="1"/>
  <c r="Q61" i="1"/>
  <c r="P61" i="1"/>
  <c r="Q30" i="1"/>
  <c r="Q31" i="1"/>
  <c r="P30" i="1"/>
  <c r="P31" i="1"/>
  <c r="P56" i="1"/>
  <c r="P58" i="1"/>
  <c r="P57" i="1"/>
  <c r="P59" i="1"/>
  <c r="P53" i="1"/>
  <c r="Q53" i="1"/>
  <c r="P54" i="1"/>
  <c r="Q54" i="1"/>
  <c r="Q55" i="1"/>
  <c r="P55" i="1"/>
  <c r="P33" i="1"/>
  <c r="P32" i="1"/>
  <c r="P34" i="1"/>
  <c r="Q48" i="1"/>
  <c r="P48" i="1"/>
  <c r="Q47" i="1"/>
  <c r="P47" i="1"/>
  <c r="Q49" i="1"/>
  <c r="P49" i="1"/>
  <c r="Q45" i="1"/>
  <c r="P45" i="1"/>
  <c r="Q44" i="1"/>
  <c r="P44" i="1"/>
  <c r="Q46" i="1"/>
  <c r="P46" i="1"/>
  <c r="Q42" i="1"/>
  <c r="P42" i="1"/>
  <c r="Q41" i="1"/>
  <c r="P41" i="1"/>
  <c r="Q43" i="1"/>
  <c r="P43" i="1"/>
  <c r="Q39" i="1"/>
  <c r="P39" i="1"/>
  <c r="Q38" i="1"/>
  <c r="P38" i="1"/>
  <c r="Q40" i="1"/>
  <c r="P40" i="1"/>
  <c r="Q36" i="1"/>
  <c r="P36" i="1"/>
  <c r="Q35" i="1"/>
  <c r="P35" i="1"/>
  <c r="Q37" i="1"/>
  <c r="P37" i="1"/>
  <c r="Q51" i="1"/>
  <c r="P51" i="1"/>
  <c r="Q50" i="1"/>
  <c r="P50" i="1"/>
  <c r="Q52" i="1"/>
  <c r="P52" i="1"/>
  <c r="P27" i="1"/>
  <c r="P28" i="1"/>
  <c r="P26" i="1"/>
  <c r="Q24" i="1"/>
  <c r="P24" i="1"/>
  <c r="Q23" i="1"/>
  <c r="P23" i="1"/>
  <c r="P4" i="1"/>
  <c r="Q18" i="1"/>
  <c r="P18" i="1"/>
  <c r="Q17" i="1"/>
  <c r="P17" i="1"/>
  <c r="Q19" i="1"/>
  <c r="P19" i="1"/>
  <c r="Q15" i="1"/>
  <c r="P15" i="1"/>
  <c r="Q14" i="1"/>
  <c r="P14" i="1"/>
  <c r="Q16" i="1"/>
  <c r="P16" i="1"/>
  <c r="Q12" i="1"/>
  <c r="P12" i="1"/>
  <c r="Q11" i="1"/>
  <c r="P11" i="1"/>
  <c r="Q13" i="1"/>
  <c r="P13" i="1"/>
  <c r="Q9" i="1"/>
  <c r="P9" i="1"/>
  <c r="Q8" i="1"/>
  <c r="P8" i="1"/>
  <c r="Q10" i="1"/>
  <c r="P10" i="1"/>
  <c r="Q6" i="1"/>
  <c r="P6" i="1"/>
  <c r="Q5" i="1"/>
  <c r="P5" i="1"/>
  <c r="Q7" i="1"/>
  <c r="P7" i="1"/>
  <c r="Q21" i="1"/>
  <c r="P21" i="1"/>
  <c r="Q20" i="1"/>
  <c r="P20" i="1"/>
  <c r="Q22" i="1"/>
  <c r="P22" i="1"/>
  <c r="P3" i="1"/>
  <c r="P4" i="3" l="1"/>
  <c r="Q4" i="3" l="1"/>
  <c r="R4" i="3" s="1"/>
  <c r="U10" i="3" l="1"/>
  <c r="V10" i="3" s="1"/>
  <c r="U8" i="3"/>
  <c r="V8" i="3" s="1"/>
  <c r="T6" i="3"/>
  <c r="U6" i="3"/>
  <c r="V6" i="3" s="1"/>
  <c r="T8" i="3"/>
  <c r="T10" i="3"/>
  <c r="U13" i="3"/>
  <c r="V13" i="3" s="1"/>
  <c r="T13" i="3"/>
  <c r="T7" i="3"/>
  <c r="U7" i="3"/>
  <c r="V7" i="3" s="1"/>
  <c r="U12" i="3"/>
  <c r="V12" i="3" s="1"/>
  <c r="T4" i="3"/>
  <c r="U4" i="3"/>
  <c r="V4" i="3" s="1"/>
  <c r="T12" i="3"/>
  <c r="U9" i="3"/>
  <c r="V9" i="3" s="1"/>
  <c r="T9" i="3"/>
  <c r="T5" i="3"/>
  <c r="U5" i="3"/>
  <c r="V5" i="3" s="1"/>
  <c r="T11" i="3" l="1"/>
  <c r="U11" i="3"/>
  <c r="V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tc={503A54A5-ED4F-454B-9D8C-A0B10A12D693}</author>
  </authors>
  <commentList>
    <comment ref="B2" authorId="0" shapeId="0" xr:uid="{503A54A5-ED4F-454B-9D8C-A0B10A12D69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Link EInfügen?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tc={4582E9D9-8B43-F048-98E2-24DC4AAC6D60}</author>
  </authors>
  <commentList>
    <comment ref="T6" authorId="0" shapeId="0" xr:uid="{4582E9D9-8B43-F048-98E2-24DC4AAC6D6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Inconsistent matching with the Study - Groups: 
Changed correctly - see General Information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Finn Dreisigacker</author>
  </authors>
  <commentList>
    <comment ref="F5" authorId="0" shapeId="0" xr:uid="{5ECFAA5E-FF28-D441-90AB-EC9A737A1DDB}">
      <text>
        <r>
          <rPr>
            <b/>
            <sz val="10"/>
            <color rgb="FF000000"/>
            <rFont val="Tahoma"/>
            <family val="2"/>
          </rPr>
          <t>Finn Dreisigacker: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15</t>
        </r>
      </text>
    </comment>
    <comment ref="I21" authorId="0" shapeId="0" xr:uid="{C9C9F99F-8C4D-9547-8021-DCAD2B835A0D}">
      <text>
        <r>
          <rPr>
            <b/>
            <sz val="10"/>
            <color rgb="FF000000"/>
            <rFont val="Tahoma"/>
            <family val="2"/>
          </rPr>
          <t>Finn Dreisigacker: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3,23</t>
        </r>
      </text>
    </comment>
    <comment ref="F35" authorId="0" shapeId="0" xr:uid="{A7E68DBA-450A-5E44-AEDD-ED5FD1116DFC}">
      <text>
        <r>
          <rPr>
            <b/>
            <sz val="10"/>
            <color rgb="FF000000"/>
            <rFont val="Tahoma"/>
            <family val="2"/>
          </rPr>
          <t>Finn Dreisigacker: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15!</t>
        </r>
      </text>
    </comment>
    <comment ref="I51" authorId="0" shapeId="0" xr:uid="{9768A648-C88A-9247-B4B1-B2D77B5530E9}">
      <text>
        <r>
          <rPr>
            <b/>
            <sz val="10"/>
            <color rgb="FF000000"/>
            <rFont val="Tahoma"/>
            <family val="2"/>
          </rPr>
          <t>Finn Dreisigacker: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3,25</t>
        </r>
      </text>
    </comment>
  </commentList>
</comments>
</file>

<file path=xl/sharedStrings.xml><?xml version="1.0" encoding="utf-8"?>
<sst xmlns="http://schemas.openxmlformats.org/spreadsheetml/2006/main" count="2805" uniqueCount="392">
  <si>
    <t>Study</t>
  </si>
  <si>
    <t>Group</t>
  </si>
  <si>
    <t>Study design</t>
  </si>
  <si>
    <t>N</t>
  </si>
  <si>
    <t>Age</t>
  </si>
  <si>
    <t>BMI</t>
  </si>
  <si>
    <t>Training status</t>
  </si>
  <si>
    <t>VO2max</t>
  </si>
  <si>
    <t>Type of exercise</t>
  </si>
  <si>
    <t>Time of day</t>
  </si>
  <si>
    <t>Analysis method</t>
  </si>
  <si>
    <t>Data extraction</t>
  </si>
  <si>
    <t>Ibfelt et al. (2002)</t>
  </si>
  <si>
    <t>-</t>
  </si>
  <si>
    <t>Pre-post</t>
  </si>
  <si>
    <t>7 men</t>
  </si>
  <si>
    <t>NA</t>
  </si>
  <si>
    <t>4.9 l/min</t>
  </si>
  <si>
    <t>1.5 h of 5% downhill running at 75% of maximum oxygen consumption (VO2max)</t>
  </si>
  <si>
    <t>Flow Cytometry, CD4, intracellular cytokine staining IL-4 &amp; IFN gamma</t>
  </si>
  <si>
    <t>Plot</t>
  </si>
  <si>
    <t>Testing - Round: autuum</t>
  </si>
  <si>
    <t>trained</t>
  </si>
  <si>
    <t>progressive efficiency test until exhaustion on a mechanical treadmill that started with running at a speed of 5 km/h. During the proper test, the  speed increased by 2 km/h after each 3 min of the test until exhaustion</t>
  </si>
  <si>
    <t>Human Th1/Th2/Th17 Phenotyping Kit</t>
  </si>
  <si>
    <t>Raw data</t>
  </si>
  <si>
    <t>Kostrzewa-Nowak et al. (2019)</t>
  </si>
  <si>
    <t>3 men</t>
  </si>
  <si>
    <t>Kostrzewa-Nowak &amp; Nowak (2020a)a</t>
  </si>
  <si>
    <t>YYRL1</t>
  </si>
  <si>
    <t>9 men</t>
  </si>
  <si>
    <t>YO-YO intermittent recovery test level 1 (YYRL1) athletes performed 2 x 20 m (back and forth) shuttle runs at increasing speed (starting at the speed of 10 km/h) where each shuttle is separated by 10 s (2 x 5 m; back and forth) of active recovery (a jogtrot)</t>
  </si>
  <si>
    <t>Kostrzewa-Nowak &amp; Nowak (2020a)b</t>
  </si>
  <si>
    <t>BEEP</t>
  </si>
  <si>
    <t>Beep test: Maximal multistage 20 m shuttle run, starting at the speed of 8.5 km/h</t>
  </si>
  <si>
    <t>Kostrzewa-Nowak &amp; Nowak (2020b)a</t>
  </si>
  <si>
    <t>Age Group 18</t>
  </si>
  <si>
    <t>16 men</t>
  </si>
  <si>
    <t>Kostrzewa-Nowak &amp; Nowak (2020b)b</t>
  </si>
  <si>
    <t>Age Group 19</t>
  </si>
  <si>
    <t>Kostrzewa-Nowak &amp; Nowak (2020b)c</t>
  </si>
  <si>
    <t>Age Group 20</t>
  </si>
  <si>
    <t>Steensberg et al. (2001)</t>
  </si>
  <si>
    <t>endurance trained</t>
  </si>
  <si>
    <t>subjects ran for 2.5 h at a speed determined in the V˙ O2 max test to give an oxygen consumption of 75%V˙ O2 max</t>
  </si>
  <si>
    <t>8am</t>
  </si>
  <si>
    <t>Flow Cytometry, CD3, CD4, intracellular cytokine staining IL-4 &amp; IFN gamma</t>
  </si>
  <si>
    <t>Tsubakihara et al. (2012)</t>
  </si>
  <si>
    <t>18 women</t>
  </si>
  <si>
    <t>Trained soccer players</t>
  </si>
  <si>
    <t>2h Soccer match</t>
  </si>
  <si>
    <t>Flow Cytometry: T helper (CD3+ CD4+); T helper 1 (CD4+ CD183+); T helper 2 (CD4+ CCR4+)</t>
  </si>
  <si>
    <t>Table</t>
  </si>
  <si>
    <t xml:space="preserve">This computation table serves as a bridge between the data presented in each paper and the used effect sizes in our meta-analysis. </t>
  </si>
  <si>
    <t xml:space="preserve">While it is most common to compute the effect sizes from Means and SDs, some articles did not report those values. </t>
  </si>
  <si>
    <t xml:space="preserve">C1 </t>
  </si>
  <si>
    <t xml:space="preserve">Min, Max, Median, and n were reported </t>
  </si>
  <si>
    <t>C2</t>
  </si>
  <si>
    <t xml:space="preserve">Median, IQR (1 and 3) and n were reported </t>
  </si>
  <si>
    <t xml:space="preserve">For clarity in the table, we will also call </t>
  </si>
  <si>
    <t>A1</t>
  </si>
  <si>
    <t xml:space="preserve">Means and SD existing in the article </t>
  </si>
  <si>
    <t xml:space="preserve">A2 </t>
  </si>
  <si>
    <t xml:space="preserve">ratio coming from reported mean Th1 and TH2 and then self computed </t>
  </si>
  <si>
    <t>study ID</t>
  </si>
  <si>
    <t>case ID</t>
  </si>
  <si>
    <t>outcome</t>
  </si>
  <si>
    <t>time</t>
  </si>
  <si>
    <t>n_total</t>
  </si>
  <si>
    <t xml:space="preserve">Where did the data come from? </t>
  </si>
  <si>
    <t>mean</t>
  </si>
  <si>
    <t>sd</t>
  </si>
  <si>
    <t>median</t>
  </si>
  <si>
    <t>q1</t>
  </si>
  <si>
    <t>q3</t>
  </si>
  <si>
    <t>min</t>
  </si>
  <si>
    <t>max</t>
  </si>
  <si>
    <t>scenario</t>
  </si>
  <si>
    <t>mean_use</t>
  </si>
  <si>
    <t>sd_use</t>
  </si>
  <si>
    <t>Th1</t>
  </si>
  <si>
    <t>post</t>
  </si>
  <si>
    <t>Fig 1</t>
  </si>
  <si>
    <t>post+2h</t>
  </si>
  <si>
    <t>pre</t>
  </si>
  <si>
    <t xml:space="preserve">raw data </t>
  </si>
  <si>
    <t>A2</t>
  </si>
  <si>
    <t>post+17h</t>
  </si>
  <si>
    <t>Kostrzewa-Nowak et al. (2018)</t>
  </si>
  <si>
    <t>Fig 2A</t>
  </si>
  <si>
    <t>C1</t>
  </si>
  <si>
    <t>Table 7</t>
  </si>
  <si>
    <t>Th2</t>
  </si>
  <si>
    <t>Ratio</t>
  </si>
  <si>
    <t>Fig 4</t>
  </si>
  <si>
    <t>Th1_mean</t>
  </si>
  <si>
    <t>Th1_sd</t>
  </si>
  <si>
    <t>Th2_mean</t>
  </si>
  <si>
    <t>Th2_sd</t>
  </si>
  <si>
    <t>Ratio_mean</t>
  </si>
  <si>
    <t>Ratio_sd</t>
  </si>
  <si>
    <r>
      <t>Rho (</t>
    </r>
    <r>
      <rPr>
        <b/>
        <i/>
        <sz val="12"/>
        <color theme="1"/>
        <rFont val="Calibri"/>
        <family val="2"/>
        <scheme val="minor"/>
      </rPr>
      <t>p</t>
    </r>
    <r>
      <rPr>
        <b/>
        <sz val="12"/>
        <color theme="1"/>
        <rFont val="Calibri"/>
        <family val="2"/>
        <scheme val="minor"/>
      </rPr>
      <t>)</t>
    </r>
  </si>
  <si>
    <t>comparison</t>
  </si>
  <si>
    <t>r</t>
  </si>
  <si>
    <t>mean_pre</t>
  </si>
  <si>
    <t>sd_pre</t>
  </si>
  <si>
    <t>mean_post</t>
  </si>
  <si>
    <t>sd_post</t>
  </si>
  <si>
    <t>D</t>
  </si>
  <si>
    <t>SDdiff</t>
  </si>
  <si>
    <t>V_D</t>
  </si>
  <si>
    <t>SE_D</t>
  </si>
  <si>
    <t>Swithin</t>
  </si>
  <si>
    <t>d</t>
  </si>
  <si>
    <t>Vd</t>
  </si>
  <si>
    <t>SEd</t>
  </si>
  <si>
    <t>J</t>
  </si>
  <si>
    <t>g</t>
  </si>
  <si>
    <t>Vg</t>
  </si>
  <si>
    <t>SEg</t>
  </si>
  <si>
    <t>&lt;--- Change R here for all outcomes</t>
  </si>
  <si>
    <t>The calculations with different r values (0.1-0.8) were performed using R to generate the necessary CSV files.</t>
  </si>
  <si>
    <t xml:space="preserve">Within - Pre vs Post </t>
  </si>
  <si>
    <t>Short Reference</t>
  </si>
  <si>
    <t xml:space="preserve">Marker </t>
  </si>
  <si>
    <t xml:space="preserve">comparison </t>
  </si>
  <si>
    <r>
      <t xml:space="preserve">study and case ID </t>
    </r>
    <r>
      <rPr>
        <b/>
        <vertAlign val="subscript"/>
        <sz val="11"/>
        <color rgb="FF000000"/>
        <rFont val="Calibri"/>
        <family val="2"/>
      </rPr>
      <t>"Estimates means SDs"</t>
    </r>
    <r>
      <rPr>
        <b/>
        <sz val="11"/>
        <color rgb="FF000000"/>
        <rFont val="Calibri"/>
        <family val="2"/>
      </rPr>
      <t xml:space="preserve"> PRE</t>
    </r>
  </si>
  <si>
    <r>
      <t xml:space="preserve">Mean </t>
    </r>
    <r>
      <rPr>
        <b/>
        <vertAlign val="subscript"/>
        <sz val="11"/>
        <color theme="1"/>
        <rFont val="Calibri"/>
        <family val="2"/>
        <scheme val="minor"/>
      </rPr>
      <t>pre</t>
    </r>
  </si>
  <si>
    <r>
      <t xml:space="preserve">SD </t>
    </r>
    <r>
      <rPr>
        <b/>
        <vertAlign val="subscript"/>
        <sz val="11"/>
        <color theme="1"/>
        <rFont val="Calibri"/>
        <family val="2"/>
        <scheme val="minor"/>
      </rPr>
      <t>pre</t>
    </r>
  </si>
  <si>
    <r>
      <t xml:space="preserve">study and case ID </t>
    </r>
    <r>
      <rPr>
        <b/>
        <vertAlign val="subscript"/>
        <sz val="11"/>
        <color rgb="FF000000"/>
        <rFont val="Calibri"/>
        <family val="2"/>
      </rPr>
      <t>"Estimates means SDs"</t>
    </r>
    <r>
      <rPr>
        <b/>
        <sz val="11"/>
        <color rgb="FF000000"/>
        <rFont val="Calibri"/>
        <family val="2"/>
      </rPr>
      <t xml:space="preserve"> POST</t>
    </r>
  </si>
  <si>
    <r>
      <t>Mean</t>
    </r>
    <r>
      <rPr>
        <b/>
        <vertAlign val="subscript"/>
        <sz val="11"/>
        <color theme="1"/>
        <rFont val="Calibri"/>
        <family val="2"/>
        <scheme val="minor"/>
      </rPr>
      <t xml:space="preserve"> post</t>
    </r>
  </si>
  <si>
    <r>
      <t xml:space="preserve">SD </t>
    </r>
    <r>
      <rPr>
        <b/>
        <vertAlign val="subscript"/>
        <sz val="11"/>
        <color theme="1"/>
        <rFont val="Calibri"/>
        <family val="2"/>
        <scheme val="minor"/>
      </rPr>
      <t>post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</si>
  <si>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diff</t>
    </r>
  </si>
  <si>
    <t>Notes</t>
  </si>
  <si>
    <t>Coeff_corr</t>
  </si>
  <si>
    <t>j</t>
  </si>
  <si>
    <r>
      <t>SD</t>
    </r>
    <r>
      <rPr>
        <b/>
        <vertAlign val="subscript"/>
        <sz val="11"/>
        <color theme="1"/>
        <rFont val="Calibri"/>
        <family val="2"/>
        <scheme val="minor"/>
      </rPr>
      <t>Diff</t>
    </r>
  </si>
  <si>
    <r>
      <t>SD</t>
    </r>
    <r>
      <rPr>
        <b/>
        <vertAlign val="subscript"/>
        <sz val="11"/>
        <color theme="1"/>
        <rFont val="Calibri"/>
        <family val="2"/>
        <scheme val="minor"/>
      </rPr>
      <t>within</t>
    </r>
  </si>
  <si>
    <t>Cohen's D</t>
  </si>
  <si>
    <r>
      <t>V</t>
    </r>
    <r>
      <rPr>
        <b/>
        <vertAlign val="subscript"/>
        <sz val="11"/>
        <color rgb="FF000000"/>
        <rFont val="Calibri"/>
        <family val="2"/>
      </rPr>
      <t>D</t>
    </r>
  </si>
  <si>
    <t>Hedges' g</t>
  </si>
  <si>
    <r>
      <t>V</t>
    </r>
    <r>
      <rPr>
        <b/>
        <vertAlign val="subscript"/>
        <sz val="11"/>
        <color theme="1"/>
        <rFont val="Calibri"/>
        <family val="2"/>
        <scheme val="minor"/>
      </rPr>
      <t>g</t>
    </r>
  </si>
  <si>
    <r>
      <t>SE</t>
    </r>
    <r>
      <rPr>
        <b/>
        <vertAlign val="subscript"/>
        <sz val="11"/>
        <color theme="1"/>
        <rFont val="Calibri"/>
        <family val="2"/>
        <scheme val="minor"/>
      </rPr>
      <t>g</t>
    </r>
  </si>
  <si>
    <t xml:space="preserve">Formula references </t>
  </si>
  <si>
    <t>Introduction to meta-analysis, Borenstein, Hedges, Higgins, Rothstein, 2009</t>
  </si>
  <si>
    <t>PRE</t>
  </si>
  <si>
    <t>POST</t>
  </si>
  <si>
    <t>4.12 - p.24</t>
  </si>
  <si>
    <t>4.22 - p.27 adapt. p29</t>
  </si>
  <si>
    <t>4.15 - p.24</t>
  </si>
  <si>
    <t>4.27 - p.29</t>
  </si>
  <si>
    <t>4.18 - p.26</t>
  </si>
  <si>
    <t>4.28 - p.29</t>
  </si>
  <si>
    <t>4.23 - p.27</t>
  </si>
  <si>
    <t>4.24 - p.27</t>
  </si>
  <si>
    <t>4.25 - p.27</t>
  </si>
  <si>
    <t>pre_vs_post</t>
  </si>
  <si>
    <t>1 ; 1</t>
  </si>
  <si>
    <t>1 ; 2</t>
  </si>
  <si>
    <r>
      <t>high score indicates high cell count, thus M</t>
    </r>
    <r>
      <rPr>
        <i/>
        <vertAlign val="subscript"/>
        <sz val="11"/>
        <color theme="1"/>
        <rFont val="Calibri"/>
        <family val="2"/>
        <scheme val="minor"/>
      </rPr>
      <t>diff</t>
    </r>
    <r>
      <rPr>
        <i/>
        <sz val="11"/>
        <color theme="1"/>
        <rFont val="Calibri"/>
        <family val="2"/>
        <scheme val="minor"/>
      </rPr>
      <t>=M</t>
    </r>
    <r>
      <rPr>
        <i/>
        <vertAlign val="subscript"/>
        <sz val="11"/>
        <color theme="1"/>
        <rFont val="Calibri"/>
        <family val="2"/>
        <scheme val="minor"/>
      </rPr>
      <t>post-</t>
    </r>
    <r>
      <rPr>
        <i/>
        <sz val="11"/>
        <color theme="1"/>
        <rFont val="Calibri"/>
        <family val="2"/>
        <scheme val="minor"/>
      </rPr>
      <t>M</t>
    </r>
    <r>
      <rPr>
        <i/>
        <vertAlign val="subscript"/>
        <sz val="11"/>
        <color theme="1"/>
        <rFont val="Calibri"/>
        <family val="2"/>
        <scheme val="minor"/>
      </rPr>
      <t>pre</t>
    </r>
  </si>
  <si>
    <t>1 ; 3</t>
  </si>
  <si>
    <t>60,1 ml/kg/min</t>
  </si>
  <si>
    <t>Raw data available, calculated per person, summarized per group</t>
  </si>
  <si>
    <t>Scenario</t>
  </si>
  <si>
    <t>case_id</t>
  </si>
  <si>
    <t>study_id</t>
  </si>
  <si>
    <t>CHECKED</t>
  </si>
  <si>
    <t>calculated (s. RatioTable)</t>
  </si>
  <si>
    <t>2 ; 4</t>
  </si>
  <si>
    <t>2 ; 5</t>
  </si>
  <si>
    <t>2 ; 6</t>
  </si>
  <si>
    <t>pre_vs_post+2h</t>
  </si>
  <si>
    <t>pre_vs_post+17h</t>
  </si>
  <si>
    <t>Within - Pre vs Post+17h</t>
  </si>
  <si>
    <t>Within - Pre vs Post+2h</t>
  </si>
  <si>
    <t xml:space="preserve">Within - Pre vs Post+17h </t>
  </si>
  <si>
    <t>Within - Pre vs Post + 17h</t>
  </si>
  <si>
    <t>Within - Pre vs Post +2h</t>
  </si>
  <si>
    <t>intervention_id</t>
  </si>
  <si>
    <t>Intervention-ID</t>
  </si>
  <si>
    <t>5 ; 10</t>
  </si>
  <si>
    <t>5 ; 11</t>
  </si>
  <si>
    <t>6 ; 13</t>
  </si>
  <si>
    <t>6 ; 14</t>
  </si>
  <si>
    <t>8 ; 19</t>
  </si>
  <si>
    <t>8 ; 20</t>
  </si>
  <si>
    <t>5 ; 12</t>
  </si>
  <si>
    <t>6 ; 15</t>
  </si>
  <si>
    <t>8 ; 21</t>
  </si>
  <si>
    <t>7 ; 16</t>
  </si>
  <si>
    <t>7 ; 17</t>
  </si>
  <si>
    <t>7 ; 18</t>
  </si>
  <si>
    <t>R</t>
  </si>
  <si>
    <t>Kostrzewa-Nowak &amp; Nowak (2020b)d</t>
  </si>
  <si>
    <t>Age Group 16</t>
  </si>
  <si>
    <t>Age Group 17</t>
  </si>
  <si>
    <t>Kostrzewa-Nowak &amp; Nowak (2020b)e</t>
  </si>
  <si>
    <t>Lancaster et al. (2005)a</t>
  </si>
  <si>
    <t>Lancaster et al. (2005)b</t>
  </si>
  <si>
    <t>Lancaster et al. (2005)c</t>
  </si>
  <si>
    <t>Harbaum et al. (2016)a</t>
  </si>
  <si>
    <t>Harbaum et al. (2016)b</t>
  </si>
  <si>
    <t>crossover</t>
  </si>
  <si>
    <t>16 (12w, 4m)</t>
  </si>
  <si>
    <t>10 (6w, 4m)</t>
  </si>
  <si>
    <t>Placebo</t>
  </si>
  <si>
    <t>6,4% CHO</t>
  </si>
  <si>
    <t>12,8% CHO</t>
  </si>
  <si>
    <t>IPAH</t>
  </si>
  <si>
    <t>Intracellular cytokine staining IFN gamma and IL-4, plus CD4+</t>
  </si>
  <si>
    <t>CD3+/CD4+ Th1: CXCR3+/CCR4−/CCR6−, Th2: CXCR3−/CCR4+/CCR6−</t>
  </si>
  <si>
    <t>2.5 h of cycling
exercise at  54% Wmax ( 65% maximal oxygen uptake)</t>
  </si>
  <si>
    <t>untrained</t>
  </si>
  <si>
    <t>CPET, workload increase was 10 Watt/min</t>
  </si>
  <si>
    <t>Healthy</t>
  </si>
  <si>
    <t>Table 3</t>
  </si>
  <si>
    <t>Fig 4D</t>
  </si>
  <si>
    <t>Fig 4B</t>
  </si>
  <si>
    <t>31 men</t>
  </si>
  <si>
    <t>17,87 ± 1,71</t>
  </si>
  <si>
    <t>17,90 ± 2,75</t>
  </si>
  <si>
    <t>A3</t>
  </si>
  <si>
    <t>A4</t>
  </si>
  <si>
    <t>A5</t>
  </si>
  <si>
    <t>A6</t>
  </si>
  <si>
    <t>A7</t>
  </si>
  <si>
    <t>A8</t>
  </si>
  <si>
    <t>14 men</t>
  </si>
  <si>
    <t>Kostrzewa-Nowak &amp; Nowak (2018)a</t>
  </si>
  <si>
    <t>Kostrzewa-Nowak &amp; Nowak (2018)b</t>
  </si>
  <si>
    <t>Testing - Round: spring</t>
  </si>
  <si>
    <t>SE</t>
  </si>
  <si>
    <t>C3</t>
  </si>
  <si>
    <t>Mean, SE were reported</t>
  </si>
  <si>
    <t>18,71 ± 0,99</t>
  </si>
  <si>
    <t>16,79 ± 0,58</t>
  </si>
  <si>
    <t>21,7 ± 0,99</t>
  </si>
  <si>
    <t>22,29 ± 1,30</t>
  </si>
  <si>
    <t>61,25 ± 4,31</t>
  </si>
  <si>
    <t>60,15 ± 3,6</t>
  </si>
  <si>
    <t>60,73 ± 4,57</t>
  </si>
  <si>
    <t>60,26 ± 3,34</t>
  </si>
  <si>
    <t>3 ; 7</t>
  </si>
  <si>
    <t>3 ; 8</t>
  </si>
  <si>
    <t>9 ; 22</t>
  </si>
  <si>
    <t>9 ; 23</t>
  </si>
  <si>
    <t>10 ; 25</t>
  </si>
  <si>
    <t>10 ; 26</t>
  </si>
  <si>
    <t>11 ; 28</t>
  </si>
  <si>
    <t>11 ; 29</t>
  </si>
  <si>
    <t>4 ; 31</t>
  </si>
  <si>
    <t>4 ; 32</t>
  </si>
  <si>
    <t>12 ; 34</t>
  </si>
  <si>
    <t>12 ; 35</t>
  </si>
  <si>
    <t>13 ; 38</t>
  </si>
  <si>
    <t>13 ; 39</t>
  </si>
  <si>
    <t>14 ; 40</t>
  </si>
  <si>
    <t>14 ; 41</t>
  </si>
  <si>
    <t>17 ; 49</t>
  </si>
  <si>
    <t>17 ; 50</t>
  </si>
  <si>
    <t>18 ; 51</t>
  </si>
  <si>
    <t>18 ; 52</t>
  </si>
  <si>
    <t>12 ; 36</t>
  </si>
  <si>
    <t>14 ; 42</t>
  </si>
  <si>
    <t>3 ; 9</t>
  </si>
  <si>
    <t>9 ; 24</t>
  </si>
  <si>
    <t>10 ; 27</t>
  </si>
  <si>
    <t>11 ; 30</t>
  </si>
  <si>
    <t>4 ; 33</t>
  </si>
  <si>
    <t>12 ; 37</t>
  </si>
  <si>
    <t>1 ; 53</t>
  </si>
  <si>
    <t>1 ; 54</t>
  </si>
  <si>
    <t>2 ; 56</t>
  </si>
  <si>
    <t>2 ; 57</t>
  </si>
  <si>
    <t>3 ; 59</t>
  </si>
  <si>
    <t>3 ; 60</t>
  </si>
  <si>
    <t>5 ; 62</t>
  </si>
  <si>
    <t>5 ; 63</t>
  </si>
  <si>
    <t>6 ; 65</t>
  </si>
  <si>
    <t>6 ; 66</t>
  </si>
  <si>
    <t>7 ; 68</t>
  </si>
  <si>
    <t>7 ; 69</t>
  </si>
  <si>
    <t>8 ; 71</t>
  </si>
  <si>
    <t>8 ; 72</t>
  </si>
  <si>
    <t>9 ; 74</t>
  </si>
  <si>
    <t>9 ; 75</t>
  </si>
  <si>
    <t>10 ; 77</t>
  </si>
  <si>
    <t>10 ; 78</t>
  </si>
  <si>
    <t>11 ; 80</t>
  </si>
  <si>
    <t>11 ; 81</t>
  </si>
  <si>
    <t>4 ; 83</t>
  </si>
  <si>
    <t>4 ; 84</t>
  </si>
  <si>
    <t>12 ; 86</t>
  </si>
  <si>
    <t>12 ; 87</t>
  </si>
  <si>
    <t>13 ; 90</t>
  </si>
  <si>
    <t>13 ; 91</t>
  </si>
  <si>
    <t>14 ; 92</t>
  </si>
  <si>
    <t>14 ; 93</t>
  </si>
  <si>
    <t>17 ; 101</t>
  </si>
  <si>
    <t>17 ; 102</t>
  </si>
  <si>
    <t>18 ; 103</t>
  </si>
  <si>
    <t>18 ; 104</t>
  </si>
  <si>
    <t>1 ; 55</t>
  </si>
  <si>
    <t>12 ; 88</t>
  </si>
  <si>
    <t>14 ; 94</t>
  </si>
  <si>
    <t>2 ; 58</t>
  </si>
  <si>
    <t>3 ; 61</t>
  </si>
  <si>
    <t>5 ; 64</t>
  </si>
  <si>
    <t>6 ; 67</t>
  </si>
  <si>
    <t>7 ; 70</t>
  </si>
  <si>
    <t>8 ; 73</t>
  </si>
  <si>
    <t>9 ; 76</t>
  </si>
  <si>
    <t>10 ; 79</t>
  </si>
  <si>
    <t>11 ; 82</t>
  </si>
  <si>
    <t>4 ; 85</t>
  </si>
  <si>
    <t>12 ; 89</t>
  </si>
  <si>
    <t>1 ; 105</t>
  </si>
  <si>
    <t>1 ; 106</t>
  </si>
  <si>
    <t>2 ; 108</t>
  </si>
  <si>
    <t>2 ; 109</t>
  </si>
  <si>
    <t>3 ; 111</t>
  </si>
  <si>
    <t>3 ; 112</t>
  </si>
  <si>
    <t>5 ; 114</t>
  </si>
  <si>
    <t>5 ; 115</t>
  </si>
  <si>
    <t>6 ; 117</t>
  </si>
  <si>
    <t>6 ; 118</t>
  </si>
  <si>
    <t>7 ; 120</t>
  </si>
  <si>
    <t>7 ; 121</t>
  </si>
  <si>
    <t>8 ; 123</t>
  </si>
  <si>
    <t>8 ; 124</t>
  </si>
  <si>
    <t>9 ; 126</t>
  </si>
  <si>
    <t>9 ; 127</t>
  </si>
  <si>
    <t>10 ; 129</t>
  </si>
  <si>
    <t>10 ; 130</t>
  </si>
  <si>
    <t>11 ; 132</t>
  </si>
  <si>
    <t>11 ; 133</t>
  </si>
  <si>
    <t>4 ; 135</t>
  </si>
  <si>
    <t>4 ; 136</t>
  </si>
  <si>
    <t>12 ; 138</t>
  </si>
  <si>
    <t>12 ; 139</t>
  </si>
  <si>
    <t>13 ; 142</t>
  </si>
  <si>
    <t>13 ; 143</t>
  </si>
  <si>
    <t>14 ; 144</t>
  </si>
  <si>
    <t>14 ; 145</t>
  </si>
  <si>
    <t>17 ; 153</t>
  </si>
  <si>
    <t>17 ; 154</t>
  </si>
  <si>
    <t>18 ; 155</t>
  </si>
  <si>
    <t>18 ; 156</t>
  </si>
  <si>
    <t>1 ; 107</t>
  </si>
  <si>
    <t>12 ; 140</t>
  </si>
  <si>
    <t>14 ; 146</t>
  </si>
  <si>
    <t>2 ; 110</t>
  </si>
  <si>
    <t>3 ; 113</t>
  </si>
  <si>
    <t>5 ; 116</t>
  </si>
  <si>
    <t>6 ; 119</t>
  </si>
  <si>
    <t>7 ; 122</t>
  </si>
  <si>
    <t>8 ; 125</t>
  </si>
  <si>
    <t>9 ; 128</t>
  </si>
  <si>
    <t>10 ; 131</t>
  </si>
  <si>
    <t>11 ; 134</t>
  </si>
  <si>
    <t>4 ; 137</t>
  </si>
  <si>
    <t>12 ; 141</t>
  </si>
  <si>
    <t>61,88 ± 4,25</t>
  </si>
  <si>
    <t>15 ; 43</t>
  </si>
  <si>
    <t>15 ; 44</t>
  </si>
  <si>
    <t>16 ; 46</t>
  </si>
  <si>
    <t>16 ; 47</t>
  </si>
  <si>
    <t>15 ; 45</t>
  </si>
  <si>
    <t>16 ; 48</t>
  </si>
  <si>
    <t>15 ; 95</t>
  </si>
  <si>
    <t>15 ; 96</t>
  </si>
  <si>
    <t>16 ; 98</t>
  </si>
  <si>
    <t>16 ; 99</t>
  </si>
  <si>
    <t>15 ; 97</t>
  </si>
  <si>
    <t>16 ; 100</t>
  </si>
  <si>
    <t>15 ; 147</t>
  </si>
  <si>
    <t>15 ; 148</t>
  </si>
  <si>
    <t>16 ; 150</t>
  </si>
  <si>
    <t>16 ; 151</t>
  </si>
  <si>
    <t>15 ; 149</t>
  </si>
  <si>
    <t>16 ; 152</t>
  </si>
  <si>
    <t>Intensity</t>
  </si>
  <si>
    <t>Duration</t>
  </si>
  <si>
    <t>MET</t>
  </si>
  <si>
    <t>Dose</t>
  </si>
  <si>
    <t>Vigorous</t>
  </si>
  <si>
    <t>Maximal</t>
  </si>
  <si>
    <t>Therefore based on widely acknowledge formulae referred in our pdf "summary_formulae.pdf", we have first emitted all means and SDs (Estimates means SDs) and then we have computed the effect sizes (effect size estimates).</t>
  </si>
  <si>
    <t>As explained in the the "summary_formulae.pdf" three types of scenarios have occured:</t>
  </si>
  <si>
    <t>Staining</t>
  </si>
  <si>
    <t>intra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</si>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</sst>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0"/>
    <numFmt numFmtId="166" formatCode="0.00000"/>
    <numFmt numFmtId="167" formatCode="0.0"/>
    <numFmt numFmtId="168" formatCode="0.0000"/>
  </numFmts>
  <fonts count="3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i/>
      <sz val="12"/>
      <name val="Times New Roman"/>
      <family val="1"/>
    </font>
    <font>
      <i/>
      <sz val="8"/>
      <color rgb="FF00B050"/>
      <name val="Calibri"/>
      <family val="2"/>
    </font>
    <font>
      <i/>
      <sz val="8"/>
      <color rgb="FF00B05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Aptos Narrow"/>
      <family val="2"/>
      <charset val="238"/>
    </font>
    <font>
      <sz val="11"/>
      <color rgb="FFC00000"/>
      <name val="Aptos Narrow"/>
      <family val="2"/>
      <charset val="238"/>
    </font>
    <font>
      <sz val="11"/>
      <color rgb="FFC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 (Textkörper)"/>
    </font>
    <font>
      <sz val="11"/>
      <color theme="1"/>
      <name val="Calibri (Textkörper)"/>
    </font>
    <font>
      <sz val="11"/>
      <name val="Calibri (Textkörper)"/>
    </font>
    <font>
      <sz val="11"/>
      <color rgb="FF000000"/>
      <name val="Calibri (Textkörper)"/>
    </font>
    <font>
      <sz val="11"/>
      <color theme="1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7030A0"/>
      <name val="Calibri (Textkörper)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8" tint="0.39997558519241921"/>
        <bgColor rgb="FF9CC2E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6C3FF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7C4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2" fontId="0" fillId="5" borderId="3" xfId="0" applyNumberFormat="1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2" fontId="0" fillId="5" borderId="4" xfId="0" applyNumberFormat="1" applyFill="1" applyBorder="1"/>
    <xf numFmtId="0" fontId="2" fillId="3" borderId="4" xfId="0" applyFont="1" applyFill="1" applyBorder="1"/>
    <xf numFmtId="0" fontId="4" fillId="3" borderId="4" xfId="0" applyFont="1" applyFill="1" applyBorder="1"/>
    <xf numFmtId="0" fontId="0" fillId="6" borderId="4" xfId="0" applyFill="1" applyBorder="1"/>
    <xf numFmtId="2" fontId="0" fillId="6" borderId="4" xfId="0" applyNumberFormat="1" applyFill="1" applyBorder="1"/>
    <xf numFmtId="164" fontId="0" fillId="6" borderId="4" xfId="0" applyNumberFormat="1" applyFill="1" applyBorder="1"/>
    <xf numFmtId="0" fontId="0" fillId="7" borderId="4" xfId="0" applyFill="1" applyBorder="1"/>
    <xf numFmtId="0" fontId="5" fillId="4" borderId="4" xfId="0" applyFont="1" applyFill="1" applyBorder="1"/>
    <xf numFmtId="0" fontId="8" fillId="0" borderId="0" xfId="0" applyFont="1"/>
    <xf numFmtId="4" fontId="12" fillId="13" borderId="0" xfId="0" applyNumberFormat="1" applyFont="1" applyFill="1" applyAlignment="1">
      <alignment horizontal="left"/>
    </xf>
    <xf numFmtId="0" fontId="13" fillId="13" borderId="0" xfId="0" applyFont="1" applyFill="1"/>
    <xf numFmtId="4" fontId="14" fillId="13" borderId="0" xfId="0" applyNumberFormat="1" applyFont="1" applyFill="1" applyAlignment="1">
      <alignment horizontal="left"/>
    </xf>
    <xf numFmtId="0" fontId="15" fillId="13" borderId="11" xfId="0" applyFont="1" applyFill="1" applyBorder="1"/>
    <xf numFmtId="0" fontId="15" fillId="13" borderId="0" xfId="0" applyFont="1" applyFill="1"/>
    <xf numFmtId="0" fontId="15" fillId="13" borderId="12" xfId="0" applyFont="1" applyFill="1" applyBorder="1"/>
    <xf numFmtId="0" fontId="16" fillId="0" borderId="0" xfId="0" applyFont="1"/>
    <xf numFmtId="4" fontId="0" fillId="0" borderId="0" xfId="0" applyNumberFormat="1" applyAlignment="1">
      <alignment horizontal="right"/>
    </xf>
    <xf numFmtId="4" fontId="7" fillId="4" borderId="0" xfId="0" applyNumberFormat="1" applyFont="1" applyFill="1" applyAlignment="1">
      <alignment horizontal="center"/>
    </xf>
    <xf numFmtId="4" fontId="9" fillId="9" borderId="0" xfId="0" applyNumberFormat="1" applyFont="1" applyFill="1" applyAlignment="1">
      <alignment horizontal="center"/>
    </xf>
    <xf numFmtId="4" fontId="10" fillId="8" borderId="0" xfId="0" applyNumberFormat="1" applyFont="1" applyFill="1" applyAlignment="1">
      <alignment horizontal="center" vertical="center"/>
    </xf>
    <xf numFmtId="4" fontId="17" fillId="10" borderId="0" xfId="0" applyNumberFormat="1" applyFont="1" applyFill="1" applyAlignment="1">
      <alignment horizontal="center"/>
    </xf>
    <xf numFmtId="4" fontId="7" fillId="11" borderId="0" xfId="0" applyNumberFormat="1" applyFont="1" applyFill="1" applyAlignment="1">
      <alignment horizontal="center"/>
    </xf>
    <xf numFmtId="4" fontId="18" fillId="11" borderId="0" xfId="0" applyNumberFormat="1" applyFont="1" applyFill="1" applyAlignment="1">
      <alignment horizontal="center"/>
    </xf>
    <xf numFmtId="0" fontId="7" fillId="14" borderId="0" xfId="0" applyFont="1" applyFill="1" applyAlignment="1">
      <alignment horizontal="center"/>
    </xf>
    <xf numFmtId="4" fontId="9" fillId="1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12" borderId="5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4" fontId="0" fillId="13" borderId="0" xfId="0" applyNumberFormat="1" applyFill="1" applyAlignment="1">
      <alignment horizontal="left"/>
    </xf>
    <xf numFmtId="0" fontId="15" fillId="13" borderId="0" xfId="0" applyFont="1" applyFill="1" applyAlignment="1">
      <alignment horizontal="left"/>
    </xf>
    <xf numFmtId="0" fontId="20" fillId="10" borderId="0" xfId="0" applyFont="1" applyFill="1"/>
    <xf numFmtId="4" fontId="15" fillId="13" borderId="0" xfId="0" applyNumberFormat="1" applyFont="1" applyFill="1" applyAlignment="1">
      <alignment horizontal="left"/>
    </xf>
    <xf numFmtId="4" fontId="0" fillId="0" borderId="0" xfId="0" applyNumberFormat="1" applyAlignment="1">
      <alignment horizontal="left" wrapText="1"/>
    </xf>
    <xf numFmtId="0" fontId="20" fillId="10" borderId="0" xfId="0" applyFont="1" applyFill="1" applyAlignment="1">
      <alignment horizontal="right"/>
    </xf>
    <xf numFmtId="4" fontId="5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11" xfId="0" applyNumberFormat="1" applyBorder="1"/>
    <xf numFmtId="164" fontId="0" fillId="0" borderId="0" xfId="0" applyNumberFormat="1"/>
    <xf numFmtId="164" fontId="0" fillId="0" borderId="12" xfId="0" applyNumberFormat="1" applyBorder="1"/>
    <xf numFmtId="0" fontId="0" fillId="0" borderId="4" xfId="0" applyBorder="1"/>
    <xf numFmtId="166" fontId="0" fillId="0" borderId="0" xfId="0" applyNumberFormat="1" applyAlignment="1">
      <alignment horizontal="right"/>
    </xf>
    <xf numFmtId="166" fontId="0" fillId="0" borderId="0" xfId="0" applyNumberFormat="1"/>
    <xf numFmtId="2" fontId="16" fillId="0" borderId="0" xfId="0" applyNumberFormat="1" applyFont="1"/>
    <xf numFmtId="4" fontId="7" fillId="13" borderId="0" xfId="0" applyNumberFormat="1" applyFont="1" applyFill="1" applyAlignment="1">
      <alignment horizontal="center"/>
    </xf>
    <xf numFmtId="2" fontId="5" fillId="0" borderId="0" xfId="0" applyNumberFormat="1" applyFont="1"/>
    <xf numFmtId="0" fontId="1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3" fillId="16" borderId="4" xfId="0" applyFont="1" applyFill="1" applyBorder="1"/>
    <xf numFmtId="0" fontId="24" fillId="17" borderId="4" xfId="0" applyFont="1" applyFill="1" applyBorder="1"/>
    <xf numFmtId="0" fontId="25" fillId="17" borderId="4" xfId="0" applyFont="1" applyFill="1" applyBorder="1" applyAlignment="1">
      <alignment horizontal="center" vertical="center"/>
    </xf>
    <xf numFmtId="0" fontId="25" fillId="17" borderId="4" xfId="0" applyFont="1" applyFill="1" applyBorder="1"/>
    <xf numFmtId="0" fontId="0" fillId="16" borderId="4" xfId="0" applyFill="1" applyBorder="1"/>
    <xf numFmtId="0" fontId="25" fillId="19" borderId="4" xfId="0" applyFont="1" applyFill="1" applyBorder="1" applyAlignment="1">
      <alignment horizontal="center" vertical="center"/>
    </xf>
    <xf numFmtId="0" fontId="25" fillId="19" borderId="4" xfId="0" applyFont="1" applyFill="1" applyBorder="1"/>
    <xf numFmtId="2" fontId="0" fillId="0" borderId="4" xfId="0" applyNumberFormat="1" applyBorder="1"/>
    <xf numFmtId="0" fontId="1" fillId="21" borderId="4" xfId="0" applyFont="1" applyFill="1" applyBorder="1"/>
    <xf numFmtId="2" fontId="0" fillId="0" borderId="3" xfId="0" applyNumberFormat="1" applyBorder="1"/>
    <xf numFmtId="2" fontId="0" fillId="22" borderId="4" xfId="0" applyNumberFormat="1" applyFill="1" applyBorder="1"/>
    <xf numFmtId="2" fontId="0" fillId="18" borderId="4" xfId="0" applyNumberFormat="1" applyFill="1" applyBorder="1"/>
    <xf numFmtId="2" fontId="0" fillId="23" borderId="4" xfId="0" applyNumberFormat="1" applyFill="1" applyBorder="1"/>
    <xf numFmtId="0" fontId="0" fillId="0" borderId="0" xfId="0" applyAlignment="1">
      <alignment vertical="center" textRotation="180" wrapText="1"/>
    </xf>
    <xf numFmtId="0" fontId="0" fillId="0" borderId="0" xfId="0" applyAlignment="1">
      <alignment vertical="center" textRotation="180"/>
    </xf>
    <xf numFmtId="0" fontId="30" fillId="2" borderId="13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/>
    </xf>
    <xf numFmtId="0" fontId="30" fillId="2" borderId="2" xfId="0" applyFont="1" applyFill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4" borderId="4" xfId="0" applyFont="1" applyFill="1" applyBorder="1"/>
    <xf numFmtId="0" fontId="31" fillId="3" borderId="4" xfId="0" applyFont="1" applyFill="1" applyBorder="1"/>
    <xf numFmtId="0" fontId="31" fillId="3" borderId="3" xfId="0" applyFont="1" applyFill="1" applyBorder="1"/>
    <xf numFmtId="0" fontId="31" fillId="3" borderId="3" xfId="0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31" fillId="0" borderId="4" xfId="0" applyFont="1" applyBorder="1"/>
    <xf numFmtId="2" fontId="31" fillId="4" borderId="4" xfId="0" applyNumberFormat="1" applyFont="1" applyFill="1" applyBorder="1"/>
    <xf numFmtId="0" fontId="33" fillId="3" borderId="4" xfId="0" applyFont="1" applyFill="1" applyBorder="1"/>
    <xf numFmtId="0" fontId="32" fillId="3" borderId="4" xfId="0" applyFont="1" applyFill="1" applyBorder="1" applyAlignment="1">
      <alignment horizontal="center" vertical="center"/>
    </xf>
    <xf numFmtId="2" fontId="32" fillId="4" borderId="4" xfId="0" applyNumberFormat="1" applyFont="1" applyFill="1" applyBorder="1"/>
    <xf numFmtId="0" fontId="31" fillId="7" borderId="4" xfId="0" applyFont="1" applyFill="1" applyBorder="1"/>
    <xf numFmtId="0" fontId="31" fillId="0" borderId="4" xfId="0" applyFont="1" applyBorder="1" applyAlignment="1">
      <alignment horizontal="center" vertical="center"/>
    </xf>
    <xf numFmtId="0" fontId="31" fillId="3" borderId="13" xfId="0" applyFont="1" applyFill="1" applyBorder="1"/>
    <xf numFmtId="0" fontId="31" fillId="3" borderId="13" xfId="0" applyFont="1" applyFill="1" applyBorder="1" applyAlignment="1">
      <alignment horizontal="center" vertical="center"/>
    </xf>
    <xf numFmtId="0" fontId="31" fillId="20" borderId="4" xfId="0" applyFont="1" applyFill="1" applyBorder="1"/>
    <xf numFmtId="0" fontId="31" fillId="0" borderId="0" xfId="0" applyFont="1"/>
    <xf numFmtId="2" fontId="0" fillId="0" borderId="0" xfId="0" applyNumberFormat="1"/>
    <xf numFmtId="2" fontId="31" fillId="0" borderId="4" xfId="0" applyNumberFormat="1" applyFont="1" applyBorder="1"/>
    <xf numFmtId="2" fontId="33" fillId="0" borderId="4" xfId="0" applyNumberFormat="1" applyFont="1" applyBorder="1"/>
    <xf numFmtId="0" fontId="31" fillId="3" borderId="4" xfId="0" applyFont="1" applyFill="1" applyBorder="1" applyAlignment="1">
      <alignment horizontal="center"/>
    </xf>
    <xf numFmtId="0" fontId="0" fillId="26" borderId="4" xfId="0" applyFill="1" applyBorder="1"/>
    <xf numFmtId="0" fontId="0" fillId="0" borderId="4" xfId="0" applyBorder="1" applyAlignment="1">
      <alignment horizontal="center"/>
    </xf>
    <xf numFmtId="0" fontId="0" fillId="25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31" fillId="4" borderId="4" xfId="0" applyFont="1" applyFill="1" applyBorder="1" applyAlignment="1">
      <alignment horizontal="center"/>
    </xf>
    <xf numFmtId="0" fontId="0" fillId="3" borderId="0" xfId="0" applyFill="1"/>
    <xf numFmtId="0" fontId="16" fillId="3" borderId="0" xfId="0" applyFont="1" applyFill="1"/>
    <xf numFmtId="0" fontId="7" fillId="3" borderId="0" xfId="0" applyFont="1" applyFill="1"/>
    <xf numFmtId="0" fontId="22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shrinkToFit="1"/>
    </xf>
    <xf numFmtId="0" fontId="0" fillId="0" borderId="3" xfId="0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2" borderId="1" xfId="0" applyFont="1" applyFill="1" applyBorder="1"/>
    <xf numFmtId="0" fontId="2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31" fillId="27" borderId="4" xfId="0" applyNumberFormat="1" applyFont="1" applyFill="1" applyBorder="1"/>
    <xf numFmtId="0" fontId="31" fillId="3" borderId="3" xfId="0" applyFont="1" applyFill="1" applyBorder="1" applyAlignment="1">
      <alignment horizontal="left"/>
    </xf>
    <xf numFmtId="0" fontId="31" fillId="0" borderId="3" xfId="0" applyFont="1" applyBorder="1" applyAlignment="1">
      <alignment horizontal="left"/>
    </xf>
    <xf numFmtId="0" fontId="31" fillId="0" borderId="4" xfId="0" applyFont="1" applyBorder="1" applyAlignment="1">
      <alignment horizontal="left"/>
    </xf>
    <xf numFmtId="0" fontId="32" fillId="3" borderId="4" xfId="0" applyFont="1" applyFill="1" applyBorder="1" applyAlignment="1">
      <alignment horizontal="left"/>
    </xf>
    <xf numFmtId="0" fontId="33" fillId="3" borderId="4" xfId="0" applyFont="1" applyFill="1" applyBorder="1" applyAlignment="1">
      <alignment horizontal="left"/>
    </xf>
    <xf numFmtId="0" fontId="31" fillId="3" borderId="4" xfId="0" applyFont="1" applyFill="1" applyBorder="1" applyAlignment="1">
      <alignment horizontal="left"/>
    </xf>
    <xf numFmtId="0" fontId="32" fillId="3" borderId="13" xfId="0" applyFont="1" applyFill="1" applyBorder="1" applyAlignment="1">
      <alignment horizontal="left"/>
    </xf>
    <xf numFmtId="2" fontId="34" fillId="28" borderId="4" xfId="0" applyNumberFormat="1" applyFont="1" applyFill="1" applyBorder="1"/>
    <xf numFmtId="2" fontId="34" fillId="29" borderId="4" xfId="0" applyNumberFormat="1" applyFont="1" applyFill="1" applyBorder="1"/>
    <xf numFmtId="0" fontId="0" fillId="0" borderId="3" xfId="0" applyBorder="1" applyAlignment="1">
      <alignment horizontal="center"/>
    </xf>
    <xf numFmtId="164" fontId="35" fillId="0" borderId="11" xfId="0" applyNumberFormat="1" applyFont="1" applyBorder="1"/>
    <xf numFmtId="164" fontId="36" fillId="0" borderId="11" xfId="0" applyNumberFormat="1" applyFont="1" applyBorder="1"/>
    <xf numFmtId="0" fontId="36" fillId="1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6" fillId="3" borderId="4" xfId="0" applyFont="1" applyFill="1" applyBorder="1"/>
    <xf numFmtId="164" fontId="36" fillId="0" borderId="0" xfId="0" applyNumberFormat="1" applyFont="1"/>
    <xf numFmtId="164" fontId="36" fillId="0" borderId="12" xfId="0" applyNumberFormat="1" applyFont="1" applyBorder="1"/>
    <xf numFmtId="0" fontId="16" fillId="4" borderId="0" xfId="0" applyFont="1" applyFill="1"/>
    <xf numFmtId="0" fontId="16" fillId="24" borderId="0" xfId="0" applyFont="1" applyFill="1"/>
    <xf numFmtId="0" fontId="16" fillId="30" borderId="0" xfId="0" applyFont="1" applyFill="1"/>
    <xf numFmtId="0" fontId="36" fillId="0" borderId="0" xfId="0" applyFont="1" applyAlignment="1">
      <alignment vertical="center"/>
    </xf>
    <xf numFmtId="2" fontId="25" fillId="0" borderId="0" xfId="0" applyNumberFormat="1" applyFont="1"/>
    <xf numFmtId="0" fontId="25" fillId="0" borderId="0" xfId="0" applyFont="1"/>
    <xf numFmtId="0" fontId="31" fillId="27" borderId="4" xfId="0" applyFont="1" applyFill="1" applyBorder="1" applyAlignment="1">
      <alignment horizontal="center"/>
    </xf>
    <xf numFmtId="0" fontId="31" fillId="27" borderId="4" xfId="0" applyFont="1" applyFill="1" applyBorder="1"/>
    <xf numFmtId="0" fontId="31" fillId="27" borderId="13" xfId="0" applyFont="1" applyFill="1" applyBorder="1" applyAlignment="1">
      <alignment horizontal="center"/>
    </xf>
    <xf numFmtId="0" fontId="31" fillId="27" borderId="13" xfId="0" applyFont="1" applyFill="1" applyBorder="1"/>
    <xf numFmtId="0" fontId="31" fillId="24" borderId="4" xfId="0" applyFont="1" applyFill="1" applyBorder="1" applyAlignment="1">
      <alignment horizontal="center"/>
    </xf>
    <xf numFmtId="2" fontId="31" fillId="24" borderId="4" xfId="0" applyNumberFormat="1" applyFont="1" applyFill="1" applyBorder="1"/>
    <xf numFmtId="164" fontId="31" fillId="24" borderId="4" xfId="0" applyNumberFormat="1" applyFont="1" applyFill="1" applyBorder="1"/>
    <xf numFmtId="0" fontId="31" fillId="23" borderId="3" xfId="0" applyFont="1" applyFill="1" applyBorder="1" applyAlignment="1">
      <alignment horizontal="center"/>
    </xf>
    <xf numFmtId="2" fontId="31" fillId="23" borderId="3" xfId="0" applyNumberFormat="1" applyFont="1" applyFill="1" applyBorder="1"/>
    <xf numFmtId="0" fontId="31" fillId="23" borderId="4" xfId="0" applyFont="1" applyFill="1" applyBorder="1" applyAlignment="1">
      <alignment horizontal="center"/>
    </xf>
    <xf numFmtId="2" fontId="31" fillId="23" borderId="4" xfId="0" applyNumberFormat="1" applyFont="1" applyFill="1" applyBorder="1"/>
    <xf numFmtId="0" fontId="0" fillId="31" borderId="4" xfId="0" applyFill="1" applyBorder="1" applyAlignment="1">
      <alignment horizontal="center"/>
    </xf>
    <xf numFmtId="2" fontId="31" fillId="31" borderId="4" xfId="0" applyNumberFormat="1" applyFont="1" applyFill="1" applyBorder="1"/>
    <xf numFmtId="0" fontId="22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7" fillId="3" borderId="4" xfId="0" applyFont="1" applyFill="1" applyBorder="1"/>
    <xf numFmtId="0" fontId="37" fillId="3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left"/>
    </xf>
    <xf numFmtId="2" fontId="37" fillId="0" borderId="4" xfId="0" applyNumberFormat="1" applyFont="1" applyBorder="1"/>
    <xf numFmtId="0" fontId="37" fillId="3" borderId="3" xfId="0" applyFont="1" applyFill="1" applyBorder="1" applyAlignment="1">
      <alignment horizontal="center" vertical="center"/>
    </xf>
    <xf numFmtId="0" fontId="37" fillId="32" borderId="4" xfId="0" applyFont="1" applyFill="1" applyBorder="1" applyAlignment="1">
      <alignment horizontal="left"/>
    </xf>
    <xf numFmtId="0" fontId="37" fillId="0" borderId="4" xfId="0" applyFont="1" applyBorder="1" applyAlignment="1">
      <alignment horizontal="left" vertical="center" wrapText="1"/>
    </xf>
    <xf numFmtId="2" fontId="37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8" fillId="3" borderId="4" xfId="0" applyFont="1" applyFill="1" applyBorder="1" applyAlignment="1">
      <alignment horizontal="left"/>
    </xf>
    <xf numFmtId="0" fontId="38" fillId="0" borderId="4" xfId="0" applyFont="1" applyBorder="1" applyAlignment="1">
      <alignment horizontal="left"/>
    </xf>
    <xf numFmtId="2" fontId="38" fillId="0" borderId="4" xfId="0" applyNumberFormat="1" applyFont="1" applyBorder="1"/>
    <xf numFmtId="0" fontId="37" fillId="3" borderId="4" xfId="0" applyFont="1" applyFill="1" applyBorder="1" applyAlignment="1">
      <alignment horizontal="center"/>
    </xf>
    <xf numFmtId="2" fontId="37" fillId="0" borderId="3" xfId="0" applyNumberFormat="1" applyFont="1" applyBorder="1"/>
    <xf numFmtId="2" fontId="37" fillId="23" borderId="4" xfId="0" applyNumberFormat="1" applyFont="1" applyFill="1" applyBorder="1"/>
    <xf numFmtId="0" fontId="37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37" fillId="3" borderId="3" xfId="0" applyFont="1" applyFill="1" applyBorder="1"/>
    <xf numFmtId="0" fontId="37" fillId="3" borderId="13" xfId="0" applyFont="1" applyFill="1" applyBorder="1"/>
    <xf numFmtId="168" fontId="31" fillId="27" borderId="3" xfId="0" applyNumberFormat="1" applyFont="1" applyFill="1" applyBorder="1"/>
    <xf numFmtId="0" fontId="31" fillId="33" borderId="13" xfId="0" applyFont="1" applyFill="1" applyBorder="1" applyAlignment="1">
      <alignment horizontal="center"/>
    </xf>
    <xf numFmtId="0" fontId="31" fillId="33" borderId="4" xfId="0" applyFont="1" applyFill="1" applyBorder="1"/>
    <xf numFmtId="168" fontId="31" fillId="33" borderId="3" xfId="0" applyNumberFormat="1" applyFont="1" applyFill="1" applyBorder="1"/>
    <xf numFmtId="0" fontId="31" fillId="33" borderId="13" xfId="0" applyFont="1" applyFill="1" applyBorder="1"/>
    <xf numFmtId="0" fontId="38" fillId="3" borderId="4" xfId="0" applyFont="1" applyFill="1" applyBorder="1"/>
    <xf numFmtId="0" fontId="37" fillId="0" borderId="4" xfId="0" applyFont="1" applyBorder="1" applyAlignment="1">
      <alignment horizontal="center" vertical="center"/>
    </xf>
    <xf numFmtId="0" fontId="37" fillId="32" borderId="4" xfId="0" applyFont="1" applyFill="1" applyBorder="1" applyAlignment="1">
      <alignment horizontal="center"/>
    </xf>
    <xf numFmtId="167" fontId="0" fillId="0" borderId="0" xfId="0" applyNumberFormat="1" applyAlignment="1">
      <alignment horizontal="right"/>
    </xf>
    <xf numFmtId="167" fontId="0" fillId="0" borderId="0" xfId="0" applyNumberFormat="1"/>
    <xf numFmtId="0" fontId="0" fillId="24" borderId="0" xfId="0" applyFill="1"/>
    <xf numFmtId="0" fontId="0" fillId="30" borderId="0" xfId="0" applyFill="1"/>
    <xf numFmtId="0" fontId="0" fillId="34" borderId="0" xfId="0" applyFill="1"/>
    <xf numFmtId="0" fontId="0" fillId="3" borderId="13" xfId="0" applyFill="1" applyBorder="1"/>
    <xf numFmtId="0" fontId="0" fillId="0" borderId="13" xfId="0" applyBorder="1" applyAlignment="1">
      <alignment horizontal="center"/>
    </xf>
    <xf numFmtId="2" fontId="34" fillId="28" borderId="13" xfId="0" applyNumberFormat="1" applyFont="1" applyFill="1" applyBorder="1"/>
    <xf numFmtId="2" fontId="34" fillId="29" borderId="13" xfId="0" applyNumberFormat="1" applyFont="1" applyFill="1" applyBorder="1"/>
    <xf numFmtId="2" fontId="0" fillId="0" borderId="13" xfId="0" applyNumberFormat="1" applyBorder="1"/>
    <xf numFmtId="0" fontId="16" fillId="0" borderId="4" xfId="0" applyFont="1" applyBorder="1"/>
    <xf numFmtId="0" fontId="0" fillId="7" borderId="13" xfId="0" applyFill="1" applyBorder="1" applyAlignment="1">
      <alignment horizontal="center"/>
    </xf>
    <xf numFmtId="0" fontId="0" fillId="34" borderId="4" xfId="0" applyFill="1" applyBorder="1" applyAlignment="1">
      <alignment horizontal="center"/>
    </xf>
    <xf numFmtId="2" fontId="0" fillId="4" borderId="4" xfId="0" applyNumberFormat="1" applyFill="1" applyBorder="1"/>
    <xf numFmtId="2" fontId="0" fillId="24" borderId="4" xfId="0" applyNumberFormat="1" applyFill="1" applyBorder="1"/>
    <xf numFmtId="2" fontId="31" fillId="27" borderId="4" xfId="0" applyNumberFormat="1" applyFont="1" applyFill="1" applyBorder="1"/>
    <xf numFmtId="2" fontId="31" fillId="33" borderId="4" xfId="0" applyNumberFormat="1" applyFont="1" applyFill="1" applyBorder="1"/>
    <xf numFmtId="0" fontId="0" fillId="25" borderId="3" xfId="0" applyFill="1" applyBorder="1" applyAlignment="1">
      <alignment horizontal="center"/>
    </xf>
    <xf numFmtId="0" fontId="16" fillId="0" borderId="3" xfId="0" applyFont="1" applyBorder="1"/>
    <xf numFmtId="2" fontId="34" fillId="28" borderId="3" xfId="0" applyNumberFormat="1" applyFont="1" applyFill="1" applyBorder="1"/>
    <xf numFmtId="2" fontId="34" fillId="29" borderId="3" xfId="0" applyNumberFormat="1" applyFont="1" applyFill="1" applyBorder="1"/>
    <xf numFmtId="0" fontId="1" fillId="21" borderId="1" xfId="0" applyFont="1" applyFill="1" applyBorder="1"/>
    <xf numFmtId="0" fontId="0" fillId="34" borderId="1" xfId="0" applyFill="1" applyBorder="1" applyAlignment="1">
      <alignment horizontal="center"/>
    </xf>
    <xf numFmtId="0" fontId="0" fillId="0" borderId="1" xfId="0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2" fontId="0" fillId="4" borderId="1" xfId="0" applyNumberFormat="1" applyFill="1" applyBorder="1"/>
    <xf numFmtId="2" fontId="0" fillId="24" borderId="1" xfId="0" applyNumberFormat="1" applyFill="1" applyBorder="1"/>
    <xf numFmtId="2" fontId="0" fillId="0" borderId="1" xfId="0" applyNumberFormat="1" applyBorder="1"/>
    <xf numFmtId="1" fontId="0" fillId="0" borderId="0" xfId="0" applyNumberFormat="1"/>
    <xf numFmtId="2" fontId="0" fillId="34" borderId="3" xfId="0" applyNumberFormat="1" applyFill="1" applyBorder="1"/>
    <xf numFmtId="2" fontId="0" fillId="34" borderId="4" xfId="0" applyNumberFormat="1" applyFill="1" applyBorder="1"/>
    <xf numFmtId="2" fontId="0" fillId="34" borderId="13" xfId="0" applyNumberFormat="1" applyFill="1" applyBorder="1"/>
    <xf numFmtId="2" fontId="0" fillId="34" borderId="1" xfId="0" applyNumberFormat="1" applyFill="1" applyBorder="1"/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4" fontId="7" fillId="13" borderId="8" xfId="0" applyNumberFormat="1" applyFont="1" applyFill="1" applyBorder="1" applyAlignment="1">
      <alignment horizontal="center" vertical="center"/>
    </xf>
    <xf numFmtId="4" fontId="7" fillId="13" borderId="9" xfId="0" applyNumberFormat="1" applyFont="1" applyFill="1" applyBorder="1" applyAlignment="1">
      <alignment horizontal="center" vertical="center"/>
    </xf>
    <xf numFmtId="4" fontId="7" fillId="13" borderId="10" xfId="0" applyNumberFormat="1" applyFont="1" applyFill="1" applyBorder="1" applyAlignment="1">
      <alignment horizontal="center" vertical="center"/>
    </xf>
    <xf numFmtId="4" fontId="7" fillId="13" borderId="8" xfId="0" applyNumberFormat="1" applyFont="1" applyFill="1" applyBorder="1" applyAlignment="1">
      <alignment horizontal="center"/>
    </xf>
    <xf numFmtId="4" fontId="7" fillId="13" borderId="9" xfId="0" applyNumberFormat="1" applyFont="1" applyFill="1" applyBorder="1" applyAlignment="1">
      <alignment horizontal="center"/>
    </xf>
    <xf numFmtId="4" fontId="7" fillId="13" borderId="10" xfId="0" applyNumberFormat="1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7C4FF"/>
      <color rgb="FFD883FF"/>
      <color rgb="FF943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12700</xdr:colOff>
      <xdr:row>3</xdr:row>
      <xdr:rowOff>0</xdr:rowOff>
    </xdr:from>
    <xdr:to>
      <xdr:col>19</xdr:col>
      <xdr:colOff>553096</xdr:colOff>
      <xdr:row>7</xdr:row>
      <xdr:rowOff>123995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8B2EE84-2650-F244-A5A5-1EBC52CD4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96900" y="622300"/>
          <a:ext cx="3860800" cy="876300"/>
        </a:xfrm>
        <a:prstGeom prst="rect">
          <a:avLst/>
        </a:prstGeom>
        <a:ln w="28575">
          <a:solidFill>
            <a:schemeClr val="accent2"/>
          </a:solidFill>
        </a:ln>
      </xdr:spPr>
    </xdr:pic>
    <xdr:clientData/>
  </xdr:twoCellAnchor>
  <xdr:twoCellAnchor editAs="oneCell">
    <xdr:from>
      <xdr:col>15</xdr:col>
      <xdr:colOff>25400</xdr:colOff>
      <xdr:row>11</xdr:row>
      <xdr:rowOff>101600</xdr:rowOff>
    </xdr:from>
    <xdr:to>
      <xdr:col>20</xdr:col>
      <xdr:colOff>718309</xdr:colOff>
      <xdr:row>16</xdr:row>
      <xdr:rowOff>141894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5FEE8C2-BFF5-7445-94B1-07FEF9CA9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09600" y="1663700"/>
          <a:ext cx="4838813" cy="998805"/>
        </a:xfrm>
        <a:prstGeom prst="rect">
          <a:avLst/>
        </a:prstGeom>
        <a:ln w="28575">
          <a:solidFill>
            <a:schemeClr val="accent6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406400</xdr:colOff>
      <xdr:row>5</xdr:row>
      <xdr:rowOff>88900</xdr:rowOff>
    </xdr:from>
    <xdr:to>
      <xdr:col>31</xdr:col>
      <xdr:colOff>758616</xdr:colOff>
      <xdr:row>55</xdr:row>
      <xdr:rowOff>145590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990A247-0E66-0249-B815-3F69A9062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88300" y="1066800"/>
          <a:ext cx="7791241" cy="94838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inn Dreisigacker" id="{6ABB1524-D343-A841-B58F-3F7A2266C5D9}" userId="889b22a3108cdd63" providerId="Windows Live"/>
  <person displayName="Finn Dreisigacker" id="{B847F81D-B4B2-4341-8139-F7C5A6633099}" userId="S::finn.dreisigacker@stud.dshs-koeln.de::da94d4c8-2967-43f7-8e45-64621c55103f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5-13T10:00:54.04" personId="{B847F81D-B4B2-4341-8139-F7C5A6633099}" id="{503A54A5-ED4F-454B-9D8C-A0B10A12D693}">
    <text>Link EInfügen?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6" dT="2026-03-18T13:18:54.20" personId="{6ABB1524-D343-A841-B58F-3F7A2266C5D9}" id="{4582E9D9-8B43-F048-98E2-24DC4AAC6D60}">
    <text>Inconsistent matching with the Study - Groups: 
Changed correctly - see General Information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C70E-3401-0C44-B841-766605D3491F}">
  <sheetPr>
    <tabColor rgb="FFFFC000"/>
  </sheetPr>
  <dimension ref="A1:R21"/>
  <sheetViews>
    <sheetView tabSelected="1" workbookViewId="0">
      <selection activeCell="J9" sqref="J9"/>
    </sheetView>
  </sheetViews>
  <sheetFormatPr baseColWidth="10" defaultColWidth="11.5" defaultRowHeight="15" x14ac:dyDescent="0.2"/>
  <cols>
    <col min="1" max="1" width="13" customWidth="1"/>
    <col min="2" max="2" width="40.83203125" customWidth="1"/>
    <col min="3" max="3" width="19.83203125" bestFit="1" customWidth="1"/>
    <col min="7" max="7" width="6" bestFit="1" customWidth="1"/>
    <col min="8" max="8" width="14.5" bestFit="1" customWidth="1"/>
    <col min="9" max="9" width="9.5" customWidth="1"/>
    <col min="10" max="10" width="63.83203125" customWidth="1"/>
    <col min="11" max="12" width="8" bestFit="1" customWidth="1"/>
    <col min="13" max="13" width="4.83203125" bestFit="1" customWidth="1"/>
    <col min="16" max="16" width="34.83203125" bestFit="1" customWidth="1"/>
    <col min="17" max="17" width="7.33203125" bestFit="1" customWidth="1"/>
    <col min="18" max="18" width="13" bestFit="1" customWidth="1"/>
  </cols>
  <sheetData>
    <row r="1" spans="1:18" ht="17" thickBot="1" x14ac:dyDescent="0.25">
      <c r="A1" s="127" t="s">
        <v>179</v>
      </c>
      <c r="B1" s="128" t="s">
        <v>0</v>
      </c>
      <c r="C1" s="128" t="s">
        <v>1</v>
      </c>
      <c r="D1" s="128" t="s">
        <v>2</v>
      </c>
      <c r="E1" s="128" t="s">
        <v>3</v>
      </c>
      <c r="F1" s="128" t="s">
        <v>4</v>
      </c>
      <c r="G1" s="128" t="s">
        <v>5</v>
      </c>
      <c r="H1" s="128" t="s">
        <v>6</v>
      </c>
      <c r="I1" s="128" t="s">
        <v>7</v>
      </c>
      <c r="J1" s="128" t="s">
        <v>8</v>
      </c>
      <c r="K1" s="128" t="s">
        <v>381</v>
      </c>
      <c r="L1" s="128" t="s">
        <v>382</v>
      </c>
      <c r="M1" s="128" t="s">
        <v>383</v>
      </c>
      <c r="N1" s="128" t="s">
        <v>384</v>
      </c>
      <c r="O1" s="128" t="s">
        <v>9</v>
      </c>
      <c r="P1" s="128" t="s">
        <v>10</v>
      </c>
      <c r="Q1" s="128" t="s">
        <v>389</v>
      </c>
      <c r="R1" s="128" t="s">
        <v>11</v>
      </c>
    </row>
    <row r="2" spans="1:18" ht="32" x14ac:dyDescent="0.2">
      <c r="A2" s="122">
        <v>1</v>
      </c>
      <c r="B2" s="123" t="s">
        <v>12</v>
      </c>
      <c r="C2" s="123" t="s">
        <v>13</v>
      </c>
      <c r="D2" s="124" t="s">
        <v>14</v>
      </c>
      <c r="E2" s="124" t="s">
        <v>15</v>
      </c>
      <c r="F2" s="125">
        <v>28</v>
      </c>
      <c r="G2" s="126" t="s">
        <v>16</v>
      </c>
      <c r="H2" s="126" t="s">
        <v>16</v>
      </c>
      <c r="I2" s="125" t="s">
        <v>17</v>
      </c>
      <c r="J2" s="124" t="s">
        <v>18</v>
      </c>
      <c r="K2" s="124" t="s">
        <v>385</v>
      </c>
      <c r="L2" s="124">
        <v>90</v>
      </c>
      <c r="M2" s="124">
        <v>7</v>
      </c>
      <c r="N2" s="126">
        <v>630</v>
      </c>
      <c r="O2" s="126" t="s">
        <v>16</v>
      </c>
      <c r="P2" s="124" t="s">
        <v>19</v>
      </c>
      <c r="Q2" s="245" t="s">
        <v>390</v>
      </c>
      <c r="R2" s="124" t="s">
        <v>20</v>
      </c>
    </row>
    <row r="3" spans="1:18" ht="48" x14ac:dyDescent="0.2">
      <c r="A3" s="120">
        <v>2</v>
      </c>
      <c r="B3" s="116" t="s">
        <v>228</v>
      </c>
      <c r="C3" s="116" t="s">
        <v>21</v>
      </c>
      <c r="D3" s="117" t="s">
        <v>14</v>
      </c>
      <c r="E3" s="117" t="s">
        <v>227</v>
      </c>
      <c r="F3" s="118" t="s">
        <v>234</v>
      </c>
      <c r="G3" s="192">
        <v>21.6</v>
      </c>
      <c r="H3" s="118" t="s">
        <v>22</v>
      </c>
      <c r="I3" s="192">
        <v>60.8</v>
      </c>
      <c r="J3" s="117" t="s">
        <v>23</v>
      </c>
      <c r="K3" s="117" t="s">
        <v>386</v>
      </c>
      <c r="L3" s="117">
        <v>20</v>
      </c>
      <c r="M3" s="117">
        <v>8.8000000000000007</v>
      </c>
      <c r="N3" s="115">
        <v>176</v>
      </c>
      <c r="O3" s="115" t="s">
        <v>16</v>
      </c>
      <c r="P3" s="117" t="s">
        <v>24</v>
      </c>
      <c r="Q3" s="117" t="s">
        <v>390</v>
      </c>
      <c r="R3" s="117" t="s">
        <v>25</v>
      </c>
    </row>
    <row r="4" spans="1:18" ht="48" x14ac:dyDescent="0.2">
      <c r="A4" s="122">
        <v>3</v>
      </c>
      <c r="B4" s="116" t="s">
        <v>229</v>
      </c>
      <c r="C4" s="116" t="s">
        <v>230</v>
      </c>
      <c r="D4" s="117" t="s">
        <v>14</v>
      </c>
      <c r="E4" s="117" t="s">
        <v>227</v>
      </c>
      <c r="F4" s="118" t="s">
        <v>235</v>
      </c>
      <c r="G4" s="192">
        <v>21.5</v>
      </c>
      <c r="H4" s="118" t="s">
        <v>22</v>
      </c>
      <c r="I4" s="192">
        <v>62.2</v>
      </c>
      <c r="J4" s="117" t="s">
        <v>23</v>
      </c>
      <c r="K4" s="117" t="s">
        <v>386</v>
      </c>
      <c r="L4" s="117">
        <v>20</v>
      </c>
      <c r="M4" s="117">
        <v>8.8000000000000007</v>
      </c>
      <c r="N4" s="115">
        <v>176</v>
      </c>
      <c r="O4" s="115" t="s">
        <v>16</v>
      </c>
      <c r="P4" s="117" t="s">
        <v>24</v>
      </c>
      <c r="Q4" s="117" t="s">
        <v>390</v>
      </c>
      <c r="R4" s="117" t="s">
        <v>25</v>
      </c>
    </row>
    <row r="5" spans="1:18" ht="48" x14ac:dyDescent="0.2">
      <c r="A5" s="120">
        <v>4</v>
      </c>
      <c r="B5" s="112" t="s">
        <v>26</v>
      </c>
      <c r="C5" s="112" t="s">
        <v>13</v>
      </c>
      <c r="D5" s="113" t="s">
        <v>14</v>
      </c>
      <c r="E5" s="113" t="s">
        <v>27</v>
      </c>
      <c r="F5" s="114">
        <v>30</v>
      </c>
      <c r="G5" s="114">
        <v>23</v>
      </c>
      <c r="H5" s="114" t="s">
        <v>22</v>
      </c>
      <c r="I5" s="115" t="s">
        <v>16</v>
      </c>
      <c r="J5" s="113" t="s">
        <v>23</v>
      </c>
      <c r="K5" s="113" t="s">
        <v>386</v>
      </c>
      <c r="L5" s="113">
        <v>18</v>
      </c>
      <c r="M5" s="113">
        <v>8.8000000000000007</v>
      </c>
      <c r="N5" s="115">
        <v>158.4</v>
      </c>
      <c r="O5" s="115" t="s">
        <v>16</v>
      </c>
      <c r="P5" s="113" t="s">
        <v>24</v>
      </c>
      <c r="Q5" s="113" t="s">
        <v>16</v>
      </c>
      <c r="R5" s="113" t="s">
        <v>20</v>
      </c>
    </row>
    <row r="6" spans="1:18" ht="37" customHeight="1" x14ac:dyDescent="0.2">
      <c r="A6" s="122">
        <v>5</v>
      </c>
      <c r="B6" s="112" t="s">
        <v>28</v>
      </c>
      <c r="C6" s="112" t="s">
        <v>33</v>
      </c>
      <c r="D6" s="113" t="s">
        <v>14</v>
      </c>
      <c r="E6" s="182" t="s">
        <v>218</v>
      </c>
      <c r="F6" s="183" t="s">
        <v>219</v>
      </c>
      <c r="G6" s="114" t="s">
        <v>237</v>
      </c>
      <c r="H6" s="114" t="s">
        <v>22</v>
      </c>
      <c r="I6" s="115" t="s">
        <v>16</v>
      </c>
      <c r="J6" s="113" t="s">
        <v>34</v>
      </c>
      <c r="K6" s="113" t="s">
        <v>386</v>
      </c>
      <c r="L6" s="237" t="s">
        <v>16</v>
      </c>
      <c r="M6" s="113">
        <v>8.8000000000000007</v>
      </c>
      <c r="N6" s="115" t="s">
        <v>16</v>
      </c>
      <c r="O6" s="115" t="s">
        <v>16</v>
      </c>
      <c r="P6" s="113" t="s">
        <v>24</v>
      </c>
      <c r="Q6" s="113" t="s">
        <v>390</v>
      </c>
      <c r="R6" s="113" t="s">
        <v>25</v>
      </c>
    </row>
    <row r="7" spans="1:18" ht="64" x14ac:dyDescent="0.2">
      <c r="A7" s="120">
        <v>6</v>
      </c>
      <c r="B7" s="112" t="s">
        <v>32</v>
      </c>
      <c r="C7" s="112" t="s">
        <v>29</v>
      </c>
      <c r="D7" s="113" t="s">
        <v>14</v>
      </c>
      <c r="E7" s="182" t="s">
        <v>218</v>
      </c>
      <c r="F7" s="184" t="s">
        <v>220</v>
      </c>
      <c r="G7" s="114" t="s">
        <v>236</v>
      </c>
      <c r="H7" s="114" t="s">
        <v>22</v>
      </c>
      <c r="I7" s="115" t="s">
        <v>16</v>
      </c>
      <c r="J7" s="119" t="s">
        <v>31</v>
      </c>
      <c r="K7" s="119" t="s">
        <v>386</v>
      </c>
      <c r="L7" s="238" t="s">
        <v>16</v>
      </c>
      <c r="M7" s="119">
        <v>8.8000000000000007</v>
      </c>
      <c r="N7" s="115" t="s">
        <v>16</v>
      </c>
      <c r="O7" s="115" t="s">
        <v>16</v>
      </c>
      <c r="P7" s="113" t="s">
        <v>24</v>
      </c>
      <c r="Q7" s="113" t="s">
        <v>390</v>
      </c>
      <c r="R7" s="113" t="s">
        <v>25</v>
      </c>
    </row>
    <row r="8" spans="1:18" ht="48" x14ac:dyDescent="0.2">
      <c r="A8" s="122">
        <v>7</v>
      </c>
      <c r="B8" s="112" t="s">
        <v>35</v>
      </c>
      <c r="C8" s="112" t="s">
        <v>36</v>
      </c>
      <c r="D8" s="113" t="s">
        <v>14</v>
      </c>
      <c r="E8" s="113" t="s">
        <v>37</v>
      </c>
      <c r="F8" s="114">
        <v>18</v>
      </c>
      <c r="G8" s="114">
        <v>19.28</v>
      </c>
      <c r="H8" s="114" t="s">
        <v>22</v>
      </c>
      <c r="I8" s="114" t="s">
        <v>362</v>
      </c>
      <c r="J8" s="113" t="s">
        <v>23</v>
      </c>
      <c r="K8" s="113" t="s">
        <v>386</v>
      </c>
      <c r="L8" s="113">
        <v>20</v>
      </c>
      <c r="M8" s="113">
        <v>8.8000000000000007</v>
      </c>
      <c r="N8" s="115">
        <v>176</v>
      </c>
      <c r="O8" s="115" t="s">
        <v>16</v>
      </c>
      <c r="P8" s="113" t="s">
        <v>24</v>
      </c>
      <c r="Q8" s="113" t="s">
        <v>390</v>
      </c>
      <c r="R8" s="113" t="s">
        <v>25</v>
      </c>
    </row>
    <row r="9" spans="1:18" ht="48" x14ac:dyDescent="0.2">
      <c r="A9" s="120">
        <v>8</v>
      </c>
      <c r="B9" s="112" t="s">
        <v>38</v>
      </c>
      <c r="C9" s="112" t="s">
        <v>39</v>
      </c>
      <c r="D9" s="113" t="s">
        <v>14</v>
      </c>
      <c r="E9" s="113" t="s">
        <v>37</v>
      </c>
      <c r="F9" s="114">
        <v>19</v>
      </c>
      <c r="G9" s="114">
        <v>19.440000000000001</v>
      </c>
      <c r="H9" s="114" t="s">
        <v>22</v>
      </c>
      <c r="I9" s="114" t="s">
        <v>240</v>
      </c>
      <c r="J9" s="113" t="s">
        <v>23</v>
      </c>
      <c r="K9" s="113" t="s">
        <v>386</v>
      </c>
      <c r="L9" s="113">
        <v>20</v>
      </c>
      <c r="M9" s="113">
        <v>8.8000000000000007</v>
      </c>
      <c r="N9" s="115">
        <v>176</v>
      </c>
      <c r="O9" s="115" t="s">
        <v>16</v>
      </c>
      <c r="P9" s="113" t="s">
        <v>24</v>
      </c>
      <c r="Q9" s="113" t="s">
        <v>390</v>
      </c>
      <c r="R9" s="113" t="s">
        <v>25</v>
      </c>
    </row>
    <row r="10" spans="1:18" ht="48" x14ac:dyDescent="0.2">
      <c r="A10" s="122">
        <v>9</v>
      </c>
      <c r="B10" s="112" t="s">
        <v>40</v>
      </c>
      <c r="C10" s="112" t="s">
        <v>41</v>
      </c>
      <c r="D10" s="113" t="s">
        <v>14</v>
      </c>
      <c r="E10" s="113" t="s">
        <v>37</v>
      </c>
      <c r="F10" s="114">
        <v>20</v>
      </c>
      <c r="G10" s="114">
        <v>20.49</v>
      </c>
      <c r="H10" s="114" t="s">
        <v>22</v>
      </c>
      <c r="I10" s="114" t="s">
        <v>241</v>
      </c>
      <c r="J10" s="113" t="s">
        <v>23</v>
      </c>
      <c r="K10" s="113" t="s">
        <v>386</v>
      </c>
      <c r="L10" s="113">
        <v>20</v>
      </c>
      <c r="M10" s="113">
        <v>8.8000000000000007</v>
      </c>
      <c r="N10" s="115">
        <v>176</v>
      </c>
      <c r="O10" s="115" t="s">
        <v>16</v>
      </c>
      <c r="P10" s="113" t="s">
        <v>24</v>
      </c>
      <c r="Q10" s="113" t="s">
        <v>390</v>
      </c>
      <c r="R10" s="113" t="s">
        <v>25</v>
      </c>
    </row>
    <row r="11" spans="1:18" ht="48" x14ac:dyDescent="0.2">
      <c r="A11" s="120">
        <v>10</v>
      </c>
      <c r="B11" s="112" t="s">
        <v>193</v>
      </c>
      <c r="C11" s="112" t="s">
        <v>194</v>
      </c>
      <c r="D11" s="113" t="s">
        <v>14</v>
      </c>
      <c r="E11" s="113" t="s">
        <v>37</v>
      </c>
      <c r="F11" s="114">
        <v>16</v>
      </c>
      <c r="G11" s="114">
        <v>21.91</v>
      </c>
      <c r="H11" s="114" t="s">
        <v>22</v>
      </c>
      <c r="I11" s="114" t="s">
        <v>238</v>
      </c>
      <c r="J11" s="113" t="s">
        <v>23</v>
      </c>
      <c r="K11" s="113" t="s">
        <v>386</v>
      </c>
      <c r="L11" s="113">
        <v>20</v>
      </c>
      <c r="M11" s="113">
        <v>8.8000000000000007</v>
      </c>
      <c r="N11" s="115">
        <v>176</v>
      </c>
      <c r="O11" s="115" t="s">
        <v>16</v>
      </c>
      <c r="P11" s="113" t="s">
        <v>24</v>
      </c>
      <c r="Q11" s="113" t="s">
        <v>390</v>
      </c>
      <c r="R11" s="113" t="s">
        <v>25</v>
      </c>
    </row>
    <row r="12" spans="1:18" ht="48" x14ac:dyDescent="0.2">
      <c r="A12" s="122">
        <v>11</v>
      </c>
      <c r="B12" s="112" t="s">
        <v>196</v>
      </c>
      <c r="C12" s="112" t="s">
        <v>195</v>
      </c>
      <c r="D12" s="113" t="s">
        <v>14</v>
      </c>
      <c r="E12" s="113" t="s">
        <v>37</v>
      </c>
      <c r="F12" s="114">
        <v>17</v>
      </c>
      <c r="G12" s="114">
        <v>21.54</v>
      </c>
      <c r="H12" s="114" t="s">
        <v>22</v>
      </c>
      <c r="I12" s="114" t="s">
        <v>239</v>
      </c>
      <c r="J12" s="113" t="s">
        <v>23</v>
      </c>
      <c r="K12" s="113" t="s">
        <v>386</v>
      </c>
      <c r="L12" s="113">
        <v>20</v>
      </c>
      <c r="M12" s="113">
        <v>8.8000000000000007</v>
      </c>
      <c r="N12" s="115">
        <v>176</v>
      </c>
      <c r="O12" s="115" t="s">
        <v>16</v>
      </c>
      <c r="P12" s="113" t="s">
        <v>24</v>
      </c>
      <c r="Q12" s="113" t="s">
        <v>390</v>
      </c>
      <c r="R12" s="113" t="s">
        <v>25</v>
      </c>
    </row>
    <row r="13" spans="1:18" ht="32" x14ac:dyDescent="0.2">
      <c r="A13" s="120">
        <v>12</v>
      </c>
      <c r="B13" s="112" t="s">
        <v>42</v>
      </c>
      <c r="C13" s="112" t="s">
        <v>13</v>
      </c>
      <c r="D13" s="113" t="s">
        <v>14</v>
      </c>
      <c r="E13" s="113" t="s">
        <v>30</v>
      </c>
      <c r="F13" s="114">
        <v>30</v>
      </c>
      <c r="G13" s="115" t="s">
        <v>16</v>
      </c>
      <c r="H13" s="114" t="s">
        <v>43</v>
      </c>
      <c r="I13" s="114" t="s">
        <v>161</v>
      </c>
      <c r="J13" s="113" t="s">
        <v>44</v>
      </c>
      <c r="K13" s="113" t="s">
        <v>385</v>
      </c>
      <c r="L13" s="113">
        <v>150</v>
      </c>
      <c r="M13" s="113">
        <v>7</v>
      </c>
      <c r="N13" s="114">
        <v>1050</v>
      </c>
      <c r="O13" s="114" t="s">
        <v>45</v>
      </c>
      <c r="P13" s="113" t="s">
        <v>46</v>
      </c>
      <c r="Q13" s="113" t="s">
        <v>390</v>
      </c>
      <c r="R13" s="113" t="s">
        <v>20</v>
      </c>
    </row>
    <row r="14" spans="1:18" ht="48" x14ac:dyDescent="0.2">
      <c r="A14" s="122">
        <v>13</v>
      </c>
      <c r="B14" s="112" t="s">
        <v>47</v>
      </c>
      <c r="C14" s="112" t="s">
        <v>13</v>
      </c>
      <c r="D14" s="113" t="s">
        <v>14</v>
      </c>
      <c r="E14" s="113" t="s">
        <v>48</v>
      </c>
      <c r="F14" s="115" t="s">
        <v>16</v>
      </c>
      <c r="G14" s="114">
        <v>21.68</v>
      </c>
      <c r="H14" s="114" t="s">
        <v>49</v>
      </c>
      <c r="I14" s="115" t="s">
        <v>16</v>
      </c>
      <c r="J14" s="113" t="s">
        <v>50</v>
      </c>
      <c r="K14" s="237" t="s">
        <v>16</v>
      </c>
      <c r="L14" s="113">
        <v>120</v>
      </c>
      <c r="M14" s="237" t="s">
        <v>16</v>
      </c>
      <c r="N14" s="115" t="s">
        <v>16</v>
      </c>
      <c r="O14" s="115" t="s">
        <v>16</v>
      </c>
      <c r="P14" s="113" t="s">
        <v>51</v>
      </c>
      <c r="Q14" s="113" t="s">
        <v>391</v>
      </c>
      <c r="R14" s="113" t="s">
        <v>52</v>
      </c>
    </row>
    <row r="15" spans="1:18" ht="32" x14ac:dyDescent="0.2">
      <c r="A15" s="120">
        <v>14</v>
      </c>
      <c r="B15" s="112" t="s">
        <v>197</v>
      </c>
      <c r="C15" s="112" t="s">
        <v>205</v>
      </c>
      <c r="D15" s="113" t="s">
        <v>202</v>
      </c>
      <c r="E15" s="113" t="s">
        <v>15</v>
      </c>
      <c r="F15" s="114">
        <v>25</v>
      </c>
      <c r="G15" s="115" t="s">
        <v>16</v>
      </c>
      <c r="H15" s="114" t="s">
        <v>43</v>
      </c>
      <c r="I15" s="114">
        <v>59.2</v>
      </c>
      <c r="J15" s="113" t="s">
        <v>211</v>
      </c>
      <c r="K15" s="113" t="s">
        <v>385</v>
      </c>
      <c r="L15" s="113">
        <v>150</v>
      </c>
      <c r="M15" s="113">
        <v>6.12</v>
      </c>
      <c r="N15" s="114">
        <v>918</v>
      </c>
      <c r="O15" s="114" t="s">
        <v>45</v>
      </c>
      <c r="P15" s="113" t="s">
        <v>209</v>
      </c>
      <c r="Q15" s="113" t="s">
        <v>390</v>
      </c>
      <c r="R15" s="113" t="s">
        <v>52</v>
      </c>
    </row>
    <row r="16" spans="1:18" ht="32" x14ac:dyDescent="0.2">
      <c r="A16" s="122">
        <v>15</v>
      </c>
      <c r="B16" s="171" t="s">
        <v>198</v>
      </c>
      <c r="C16" s="171" t="s">
        <v>206</v>
      </c>
      <c r="D16" s="172" t="s">
        <v>202</v>
      </c>
      <c r="E16" s="172" t="s">
        <v>15</v>
      </c>
      <c r="F16" s="173">
        <v>25</v>
      </c>
      <c r="G16" s="174" t="s">
        <v>16</v>
      </c>
      <c r="H16" s="173" t="s">
        <v>43</v>
      </c>
      <c r="I16" s="173">
        <v>59.2</v>
      </c>
      <c r="J16" s="172" t="s">
        <v>211</v>
      </c>
      <c r="K16" s="172" t="s">
        <v>385</v>
      </c>
      <c r="L16" s="172">
        <v>150</v>
      </c>
      <c r="M16" s="172">
        <v>6.12</v>
      </c>
      <c r="N16" s="173">
        <v>918</v>
      </c>
      <c r="O16" s="173" t="s">
        <v>45</v>
      </c>
      <c r="P16" s="172" t="s">
        <v>209</v>
      </c>
      <c r="Q16" s="172" t="s">
        <v>390</v>
      </c>
      <c r="R16" s="172" t="s">
        <v>52</v>
      </c>
    </row>
    <row r="17" spans="1:18" ht="32" x14ac:dyDescent="0.2">
      <c r="A17" s="120">
        <v>16</v>
      </c>
      <c r="B17" s="171" t="s">
        <v>199</v>
      </c>
      <c r="C17" s="171" t="s">
        <v>207</v>
      </c>
      <c r="D17" s="172" t="s">
        <v>202</v>
      </c>
      <c r="E17" s="172" t="s">
        <v>15</v>
      </c>
      <c r="F17" s="173">
        <v>25</v>
      </c>
      <c r="G17" s="174" t="s">
        <v>16</v>
      </c>
      <c r="H17" s="173" t="s">
        <v>43</v>
      </c>
      <c r="I17" s="173">
        <v>59.2</v>
      </c>
      <c r="J17" s="172" t="s">
        <v>211</v>
      </c>
      <c r="K17" s="172" t="s">
        <v>385</v>
      </c>
      <c r="L17" s="172">
        <v>150</v>
      </c>
      <c r="M17" s="172">
        <v>6.12</v>
      </c>
      <c r="N17" s="173">
        <v>918</v>
      </c>
      <c r="O17" s="173" t="s">
        <v>45</v>
      </c>
      <c r="P17" s="172" t="s">
        <v>209</v>
      </c>
      <c r="Q17" s="172" t="s">
        <v>390</v>
      </c>
      <c r="R17" s="172" t="s">
        <v>52</v>
      </c>
    </row>
    <row r="18" spans="1:18" ht="32" x14ac:dyDescent="0.2">
      <c r="A18" s="122">
        <v>17</v>
      </c>
      <c r="B18" s="171" t="s">
        <v>200</v>
      </c>
      <c r="C18" s="171" t="s">
        <v>208</v>
      </c>
      <c r="D18" s="172" t="s">
        <v>14</v>
      </c>
      <c r="E18" s="172" t="s">
        <v>203</v>
      </c>
      <c r="F18" s="173">
        <v>58</v>
      </c>
      <c r="G18" s="174">
        <v>25</v>
      </c>
      <c r="H18" s="173" t="s">
        <v>212</v>
      </c>
      <c r="I18" s="173">
        <v>15</v>
      </c>
      <c r="J18" s="172" t="s">
        <v>213</v>
      </c>
      <c r="K18" s="172" t="s">
        <v>386</v>
      </c>
      <c r="L18" s="172">
        <v>7.3</v>
      </c>
      <c r="M18" s="172">
        <v>8.8000000000000007</v>
      </c>
      <c r="N18" s="173">
        <v>64.240000000000009</v>
      </c>
      <c r="O18" s="174" t="s">
        <v>16</v>
      </c>
      <c r="P18" s="172" t="s">
        <v>210</v>
      </c>
      <c r="Q18" s="172" t="s">
        <v>391</v>
      </c>
      <c r="R18" s="172" t="s">
        <v>20</v>
      </c>
    </row>
    <row r="19" spans="1:18" ht="33" thickBot="1" x14ac:dyDescent="0.25">
      <c r="A19" s="129">
        <v>18</v>
      </c>
      <c r="B19" s="130" t="s">
        <v>201</v>
      </c>
      <c r="C19" s="130" t="s">
        <v>214</v>
      </c>
      <c r="D19" s="131" t="s">
        <v>14</v>
      </c>
      <c r="E19" s="131" t="s">
        <v>204</v>
      </c>
      <c r="F19" s="175">
        <v>58</v>
      </c>
      <c r="G19" s="133">
        <v>24</v>
      </c>
      <c r="H19" s="133" t="s">
        <v>212</v>
      </c>
      <c r="I19" s="132">
        <v>23</v>
      </c>
      <c r="J19" s="131" t="s">
        <v>213</v>
      </c>
      <c r="K19" s="131" t="s">
        <v>386</v>
      </c>
      <c r="L19" s="131">
        <v>13</v>
      </c>
      <c r="M19" s="131">
        <v>8.8000000000000007</v>
      </c>
      <c r="N19" s="133">
        <v>114.4</v>
      </c>
      <c r="O19" s="132" t="s">
        <v>16</v>
      </c>
      <c r="P19" s="131" t="s">
        <v>210</v>
      </c>
      <c r="Q19" s="131" t="s">
        <v>391</v>
      </c>
      <c r="R19" s="131" t="s">
        <v>20</v>
      </c>
    </row>
    <row r="21" spans="1:18" x14ac:dyDescent="0.2">
      <c r="D21" s="56"/>
      <c r="E21" s="56"/>
      <c r="F21" s="56"/>
      <c r="G21" s="56"/>
      <c r="H21" s="56"/>
      <c r="I21" s="57"/>
      <c r="J21" s="56"/>
      <c r="K21" s="56"/>
      <c r="L21" s="56"/>
      <c r="M21" s="56"/>
      <c r="N21" s="57"/>
      <c r="O21" s="57"/>
      <c r="P21" s="56"/>
      <c r="Q21" s="56"/>
      <c r="R21" s="56"/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0676-42CD-46A3-B530-5F42B2371197}">
  <sheetPr>
    <tabColor rgb="FFC00000"/>
  </sheetPr>
  <dimension ref="A1:P27"/>
  <sheetViews>
    <sheetView zoomScale="166" workbookViewId="0">
      <selection activeCell="H16" sqref="H16"/>
    </sheetView>
  </sheetViews>
  <sheetFormatPr baseColWidth="10" defaultColWidth="11.5" defaultRowHeight="15" x14ac:dyDescent="0.2"/>
  <cols>
    <col min="1" max="1" width="5" customWidth="1"/>
  </cols>
  <sheetData>
    <row r="1" spans="1:16" x14ac:dyDescent="0.2">
      <c r="A1" s="109" t="s">
        <v>53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spans="1:16" x14ac:dyDescent="0.2">
      <c r="A2" s="109" t="s">
        <v>54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16" x14ac:dyDescent="0.2">
      <c r="A3" s="109" t="s">
        <v>387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16" x14ac:dyDescent="0.2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6" x14ac:dyDescent="0.2">
      <c r="A5" s="109" t="s">
        <v>388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16" x14ac:dyDescent="0.2">
      <c r="A6" s="109" t="s">
        <v>55</v>
      </c>
      <c r="B6" s="109" t="s">
        <v>56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</row>
    <row r="7" spans="1:16" x14ac:dyDescent="0.2">
      <c r="A7" s="109" t="s">
        <v>57</v>
      </c>
      <c r="B7" s="109" t="s">
        <v>58</v>
      </c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</row>
    <row r="8" spans="1:16" x14ac:dyDescent="0.2">
      <c r="A8" s="109" t="s">
        <v>232</v>
      </c>
      <c r="B8" s="109" t="s">
        <v>233</v>
      </c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</row>
    <row r="9" spans="1:16" x14ac:dyDescent="0.2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</row>
    <row r="10" spans="1:16" x14ac:dyDescent="0.2">
      <c r="A10" s="109" t="s">
        <v>59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</row>
    <row r="11" spans="1:16" x14ac:dyDescent="0.2">
      <c r="A11" s="109" t="s">
        <v>60</v>
      </c>
      <c r="B11" s="109" t="s">
        <v>61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</row>
    <row r="12" spans="1:16" x14ac:dyDescent="0.2">
      <c r="A12" s="109" t="s">
        <v>62</v>
      </c>
      <c r="B12" s="109" t="s">
        <v>162</v>
      </c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</row>
    <row r="13" spans="1:16" x14ac:dyDescent="0.2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</row>
    <row r="14" spans="1:16" x14ac:dyDescent="0.2">
      <c r="A14" s="109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</row>
    <row r="15" spans="1:16" x14ac:dyDescent="0.2">
      <c r="A15" s="111" t="s">
        <v>93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</row>
    <row r="16" spans="1:16" x14ac:dyDescent="0.2">
      <c r="A16" s="109" t="s">
        <v>192</v>
      </c>
      <c r="B16" s="110" t="s">
        <v>63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</row>
    <row r="17" spans="1:16" x14ac:dyDescent="0.2">
      <c r="A17" s="109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</row>
    <row r="18" spans="1:16" x14ac:dyDescent="0.2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</row>
    <row r="19" spans="1:16" x14ac:dyDescent="0.2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</row>
    <row r="20" spans="1:16" x14ac:dyDescent="0.2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</row>
    <row r="21" spans="1:16" x14ac:dyDescent="0.2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</row>
    <row r="22" spans="1:16" x14ac:dyDescent="0.2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</row>
    <row r="23" spans="1:16" x14ac:dyDescent="0.2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</row>
    <row r="24" spans="1:16" x14ac:dyDescent="0.2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</row>
    <row r="25" spans="1:16" x14ac:dyDescent="0.2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</row>
    <row r="26" spans="1:16" x14ac:dyDescent="0.2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</row>
    <row r="27" spans="1:16" x14ac:dyDescent="0.2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B0A-C51E-3A41-ACB4-721FC63402A4}">
  <sheetPr>
    <tabColor rgb="FFC00000"/>
  </sheetPr>
  <dimension ref="A1:R157"/>
  <sheetViews>
    <sheetView zoomScaleNormal="60" workbookViewId="0">
      <selection activeCell="V100" sqref="V100"/>
    </sheetView>
  </sheetViews>
  <sheetFormatPr baseColWidth="10" defaultColWidth="11.5" defaultRowHeight="15" x14ac:dyDescent="0.2"/>
  <cols>
    <col min="1" max="1" width="13.33203125" style="99" bestFit="1" customWidth="1"/>
    <col min="2" max="2" width="7.1640625" style="99" bestFit="1" customWidth="1"/>
    <col min="3" max="3" width="7.1640625" style="99" customWidth="1"/>
    <col min="4" max="4" width="39.83203125" style="99" customWidth="1"/>
    <col min="5" max="6" width="10.83203125" style="99"/>
    <col min="7" max="7" width="31.1640625" style="99" bestFit="1" customWidth="1"/>
    <col min="8" max="14" width="10.83203125" style="99"/>
    <col min="15" max="15" width="11.5" style="99"/>
    <col min="16" max="16" width="7.6640625" style="99" bestFit="1" customWidth="1"/>
    <col min="17" max="18" width="10.83203125" style="99"/>
  </cols>
  <sheetData>
    <row r="1" spans="1:18" ht="16" thickBot="1" x14ac:dyDescent="0.25">
      <c r="A1" s="80" t="s">
        <v>178</v>
      </c>
      <c r="B1" s="80" t="s">
        <v>164</v>
      </c>
      <c r="C1" s="80" t="s">
        <v>66</v>
      </c>
      <c r="D1" s="81" t="s">
        <v>0</v>
      </c>
      <c r="E1" s="81" t="s">
        <v>67</v>
      </c>
      <c r="F1" s="81" t="s">
        <v>68</v>
      </c>
      <c r="G1" s="81" t="s">
        <v>69</v>
      </c>
      <c r="H1" s="81" t="s">
        <v>70</v>
      </c>
      <c r="I1" s="81" t="s">
        <v>71</v>
      </c>
      <c r="J1" s="81" t="s">
        <v>72</v>
      </c>
      <c r="K1" s="81" t="s">
        <v>73</v>
      </c>
      <c r="L1" s="81" t="s">
        <v>74</v>
      </c>
      <c r="M1" s="81" t="s">
        <v>75</v>
      </c>
      <c r="N1" s="81" t="s">
        <v>76</v>
      </c>
      <c r="O1" s="82" t="s">
        <v>231</v>
      </c>
      <c r="P1" s="82" t="s">
        <v>77</v>
      </c>
      <c r="Q1" s="82" t="s">
        <v>78</v>
      </c>
      <c r="R1" s="82" t="s">
        <v>79</v>
      </c>
    </row>
    <row r="2" spans="1:18" x14ac:dyDescent="0.2">
      <c r="A2" s="95">
        <v>1</v>
      </c>
      <c r="B2" s="95">
        <v>1</v>
      </c>
      <c r="C2" s="84" t="s">
        <v>80</v>
      </c>
      <c r="D2" s="85" t="s">
        <v>12</v>
      </c>
      <c r="E2" s="86" t="s">
        <v>84</v>
      </c>
      <c r="F2" s="87">
        <v>7</v>
      </c>
      <c r="G2" s="135" t="s">
        <v>82</v>
      </c>
      <c r="H2" s="86"/>
      <c r="I2" s="86"/>
      <c r="J2" s="86">
        <v>9.6300000000000008</v>
      </c>
      <c r="K2" s="86">
        <v>6.42</v>
      </c>
      <c r="L2" s="86">
        <v>12.62</v>
      </c>
      <c r="M2" s="86"/>
      <c r="N2" s="86"/>
      <c r="O2" s="86"/>
      <c r="P2" s="165" t="s">
        <v>57</v>
      </c>
      <c r="Q2" s="166">
        <f>(K2+J2+L2)/3</f>
        <v>9.5566666666666666</v>
      </c>
      <c r="R2" s="166">
        <f>(L2-K2)/(2*_xlfn.NORM.S.INV((0.75*F2-0.125)/(F2+0.25)))</f>
        <v>5.6949604832969358</v>
      </c>
    </row>
    <row r="3" spans="1:18" x14ac:dyDescent="0.2">
      <c r="A3" s="95">
        <v>1</v>
      </c>
      <c r="B3" s="95">
        <v>2</v>
      </c>
      <c r="C3" s="84" t="s">
        <v>80</v>
      </c>
      <c r="D3" s="85" t="s">
        <v>12</v>
      </c>
      <c r="E3" s="85" t="s">
        <v>81</v>
      </c>
      <c r="F3" s="88">
        <v>7</v>
      </c>
      <c r="G3" s="136" t="s">
        <v>82</v>
      </c>
      <c r="H3" s="89"/>
      <c r="I3" s="89"/>
      <c r="J3" s="85">
        <v>13.54</v>
      </c>
      <c r="K3" s="85">
        <v>10.25</v>
      </c>
      <c r="L3" s="85">
        <v>18.59</v>
      </c>
      <c r="M3" s="85"/>
      <c r="N3" s="85"/>
      <c r="O3" s="85"/>
      <c r="P3" s="167" t="s">
        <v>57</v>
      </c>
      <c r="Q3" s="168">
        <f>(K3+J3+L3)/3</f>
        <v>14.126666666666665</v>
      </c>
      <c r="R3" s="166">
        <f>(L3-K3)/(2*_xlfn.NORM.S.INV((0.75*F3-0.125)/(F3+0.25)))</f>
        <v>7.6606403920478146</v>
      </c>
    </row>
    <row r="4" spans="1:18" x14ac:dyDescent="0.2">
      <c r="A4" s="95">
        <v>1</v>
      </c>
      <c r="B4" s="95">
        <v>3</v>
      </c>
      <c r="C4" s="84" t="s">
        <v>80</v>
      </c>
      <c r="D4" s="85" t="s">
        <v>12</v>
      </c>
      <c r="E4" s="85" t="s">
        <v>83</v>
      </c>
      <c r="F4" s="88">
        <v>7</v>
      </c>
      <c r="G4" s="137" t="s">
        <v>82</v>
      </c>
      <c r="H4" s="89"/>
      <c r="I4" s="89"/>
      <c r="J4" s="85">
        <v>6.73</v>
      </c>
      <c r="K4" s="85">
        <v>3.67</v>
      </c>
      <c r="L4" s="85">
        <v>9.7799999999999994</v>
      </c>
      <c r="M4" s="85"/>
      <c r="N4" s="85"/>
      <c r="O4" s="85"/>
      <c r="P4" s="167" t="s">
        <v>57</v>
      </c>
      <c r="Q4" s="168">
        <f>(K4+J4+L4)/3</f>
        <v>6.7266666666666666</v>
      </c>
      <c r="R4" s="166">
        <f>(L4-K4)/(2*_xlfn.NORM.S.INV((0.75*F4-0.125)/(F4+0.25)))</f>
        <v>5.6122917020877869</v>
      </c>
    </row>
    <row r="5" spans="1:18" x14ac:dyDescent="0.2">
      <c r="A5" s="95">
        <v>2</v>
      </c>
      <c r="B5" s="95">
        <v>4</v>
      </c>
      <c r="C5" s="84" t="s">
        <v>80</v>
      </c>
      <c r="D5" s="85" t="s">
        <v>228</v>
      </c>
      <c r="E5" s="85" t="s">
        <v>84</v>
      </c>
      <c r="F5" s="120">
        <v>14</v>
      </c>
      <c r="G5" s="137" t="s">
        <v>85</v>
      </c>
      <c r="H5" s="179">
        <v>23.9</v>
      </c>
      <c r="I5" s="179">
        <v>3.14</v>
      </c>
      <c r="J5" s="85"/>
      <c r="K5" s="85"/>
      <c r="L5" s="85"/>
      <c r="M5" s="85"/>
      <c r="N5" s="85"/>
      <c r="O5" s="85"/>
      <c r="P5" s="108" t="s">
        <v>86</v>
      </c>
      <c r="Q5" s="90">
        <f t="shared" ref="Q5:R26" si="0">H5</f>
        <v>23.9</v>
      </c>
      <c r="R5" s="90">
        <f t="shared" si="0"/>
        <v>3.14</v>
      </c>
    </row>
    <row r="6" spans="1:18" x14ac:dyDescent="0.2">
      <c r="A6" s="95">
        <v>2</v>
      </c>
      <c r="B6" s="95">
        <v>5</v>
      </c>
      <c r="C6" s="84" t="s">
        <v>80</v>
      </c>
      <c r="D6" s="85" t="s">
        <v>228</v>
      </c>
      <c r="E6" s="85" t="s">
        <v>81</v>
      </c>
      <c r="F6" s="120">
        <v>14</v>
      </c>
      <c r="G6" s="137" t="s">
        <v>85</v>
      </c>
      <c r="H6" s="179">
        <v>31.65</v>
      </c>
      <c r="I6" s="179">
        <v>3.23</v>
      </c>
      <c r="J6" s="85"/>
      <c r="K6" s="85"/>
      <c r="L6" s="85"/>
      <c r="M6" s="85"/>
      <c r="N6" s="85"/>
      <c r="O6" s="85"/>
      <c r="P6" s="108" t="s">
        <v>86</v>
      </c>
      <c r="Q6" s="90">
        <f t="shared" si="0"/>
        <v>31.65</v>
      </c>
      <c r="R6" s="90">
        <f t="shared" si="0"/>
        <v>3.23</v>
      </c>
    </row>
    <row r="7" spans="1:18" x14ac:dyDescent="0.2">
      <c r="A7" s="95">
        <v>2</v>
      </c>
      <c r="B7" s="95">
        <v>6</v>
      </c>
      <c r="C7" s="84" t="s">
        <v>80</v>
      </c>
      <c r="D7" s="85" t="s">
        <v>228</v>
      </c>
      <c r="E7" s="91" t="s">
        <v>87</v>
      </c>
      <c r="F7" s="120">
        <v>14</v>
      </c>
      <c r="G7" s="137" t="s">
        <v>85</v>
      </c>
      <c r="H7" s="179">
        <v>35.36</v>
      </c>
      <c r="I7" s="179">
        <v>5.34</v>
      </c>
      <c r="J7" s="85"/>
      <c r="K7" s="85"/>
      <c r="L7" s="85"/>
      <c r="M7" s="85"/>
      <c r="N7" s="85"/>
      <c r="O7" s="85"/>
      <c r="P7" s="108" t="s">
        <v>86</v>
      </c>
      <c r="Q7" s="90">
        <f t="shared" si="0"/>
        <v>35.36</v>
      </c>
      <c r="R7" s="90">
        <f t="shared" si="0"/>
        <v>5.34</v>
      </c>
    </row>
    <row r="8" spans="1:18" x14ac:dyDescent="0.2">
      <c r="A8" s="95">
        <v>3</v>
      </c>
      <c r="B8" s="95">
        <v>7</v>
      </c>
      <c r="C8" s="84" t="s">
        <v>80</v>
      </c>
      <c r="D8" s="200" t="s">
        <v>229</v>
      </c>
      <c r="E8" s="200" t="s">
        <v>84</v>
      </c>
      <c r="F8" s="201">
        <v>14</v>
      </c>
      <c r="G8" s="186" t="s">
        <v>85</v>
      </c>
      <c r="H8" s="179">
        <v>17.05</v>
      </c>
      <c r="I8" s="179">
        <v>4.08</v>
      </c>
      <c r="J8" s="85"/>
      <c r="K8" s="85"/>
      <c r="L8" s="85"/>
      <c r="M8" s="85"/>
      <c r="N8" s="85"/>
      <c r="O8" s="85"/>
      <c r="P8" s="108" t="s">
        <v>86</v>
      </c>
      <c r="Q8" s="90">
        <f t="shared" si="0"/>
        <v>17.05</v>
      </c>
      <c r="R8" s="90">
        <f t="shared" si="0"/>
        <v>4.08</v>
      </c>
    </row>
    <row r="9" spans="1:18" x14ac:dyDescent="0.2">
      <c r="A9" s="95">
        <v>3</v>
      </c>
      <c r="B9" s="95">
        <v>8</v>
      </c>
      <c r="C9" s="84" t="s">
        <v>80</v>
      </c>
      <c r="D9" s="200" t="s">
        <v>229</v>
      </c>
      <c r="E9" s="200" t="s">
        <v>81</v>
      </c>
      <c r="F9" s="201">
        <v>14</v>
      </c>
      <c r="G9" s="186" t="s">
        <v>85</v>
      </c>
      <c r="H9" s="179">
        <v>25.07</v>
      </c>
      <c r="I9" s="179">
        <v>5.1100000000000003</v>
      </c>
      <c r="J9" s="85"/>
      <c r="K9" s="85"/>
      <c r="L9" s="85"/>
      <c r="M9" s="85"/>
      <c r="N9" s="85"/>
      <c r="O9" s="85"/>
      <c r="P9" s="108" t="s">
        <v>86</v>
      </c>
      <c r="Q9" s="90">
        <f t="shared" si="0"/>
        <v>25.07</v>
      </c>
      <c r="R9" s="90">
        <f t="shared" si="0"/>
        <v>5.1100000000000003</v>
      </c>
    </row>
    <row r="10" spans="1:18" x14ac:dyDescent="0.2">
      <c r="A10" s="95">
        <v>3</v>
      </c>
      <c r="B10" s="95">
        <v>9</v>
      </c>
      <c r="C10" s="84" t="s">
        <v>80</v>
      </c>
      <c r="D10" s="200" t="s">
        <v>229</v>
      </c>
      <c r="E10" s="200" t="s">
        <v>87</v>
      </c>
      <c r="F10" s="201">
        <v>14</v>
      </c>
      <c r="G10" s="186" t="s">
        <v>85</v>
      </c>
      <c r="H10" s="179">
        <v>27.68</v>
      </c>
      <c r="I10" s="179">
        <v>4.5599999999999996</v>
      </c>
      <c r="J10" s="85"/>
      <c r="K10" s="85"/>
      <c r="L10" s="85"/>
      <c r="M10" s="85"/>
      <c r="N10" s="85"/>
      <c r="O10" s="85"/>
      <c r="P10" s="108" t="s">
        <v>86</v>
      </c>
      <c r="Q10" s="90">
        <f t="shared" si="0"/>
        <v>27.68</v>
      </c>
      <c r="R10" s="90">
        <f t="shared" si="0"/>
        <v>4.5599999999999996</v>
      </c>
    </row>
    <row r="11" spans="1:18" x14ac:dyDescent="0.2">
      <c r="A11" s="95">
        <v>5</v>
      </c>
      <c r="B11" s="95">
        <v>10</v>
      </c>
      <c r="C11" s="84" t="s">
        <v>80</v>
      </c>
      <c r="D11" s="85" t="s">
        <v>28</v>
      </c>
      <c r="E11" s="85" t="s">
        <v>84</v>
      </c>
      <c r="F11" s="177">
        <v>31</v>
      </c>
      <c r="G11" s="185" t="s">
        <v>85</v>
      </c>
      <c r="H11" s="179">
        <v>21.28387</v>
      </c>
      <c r="I11" s="179">
        <v>3.557671</v>
      </c>
      <c r="J11" s="85"/>
      <c r="K11" s="85"/>
      <c r="L11" s="85"/>
      <c r="M11" s="85"/>
      <c r="N11" s="85"/>
      <c r="O11" s="85"/>
      <c r="P11" s="108" t="s">
        <v>86</v>
      </c>
      <c r="Q11" s="90">
        <f t="shared" si="0"/>
        <v>21.28387</v>
      </c>
      <c r="R11" s="90">
        <f t="shared" si="0"/>
        <v>3.557671</v>
      </c>
    </row>
    <row r="12" spans="1:18" x14ac:dyDescent="0.2">
      <c r="A12" s="95">
        <v>5</v>
      </c>
      <c r="B12" s="95">
        <v>11</v>
      </c>
      <c r="C12" s="84" t="s">
        <v>80</v>
      </c>
      <c r="D12" s="85" t="s">
        <v>28</v>
      </c>
      <c r="E12" s="85" t="s">
        <v>81</v>
      </c>
      <c r="F12" s="177">
        <v>31</v>
      </c>
      <c r="G12" s="185" t="s">
        <v>85</v>
      </c>
      <c r="H12" s="179">
        <v>31.592580000000002</v>
      </c>
      <c r="I12" s="179">
        <v>3.6660119999999998</v>
      </c>
      <c r="J12" s="85"/>
      <c r="K12" s="85"/>
      <c r="L12" s="85"/>
      <c r="M12" s="85"/>
      <c r="N12" s="85"/>
      <c r="O12" s="85"/>
      <c r="P12" s="108" t="s">
        <v>86</v>
      </c>
      <c r="Q12" s="90">
        <f t="shared" si="0"/>
        <v>31.592580000000002</v>
      </c>
      <c r="R12" s="90">
        <f t="shared" si="0"/>
        <v>3.6660119999999998</v>
      </c>
    </row>
    <row r="13" spans="1:18" x14ac:dyDescent="0.2">
      <c r="A13" s="95">
        <v>5</v>
      </c>
      <c r="B13" s="95">
        <v>12</v>
      </c>
      <c r="C13" s="84" t="s">
        <v>80</v>
      </c>
      <c r="D13" s="85" t="s">
        <v>28</v>
      </c>
      <c r="E13" s="91" t="s">
        <v>87</v>
      </c>
      <c r="F13" s="177">
        <v>31</v>
      </c>
      <c r="G13" s="185" t="s">
        <v>85</v>
      </c>
      <c r="H13" s="179">
        <v>27.453230000000001</v>
      </c>
      <c r="I13" s="179">
        <v>4.8880039999999996</v>
      </c>
      <c r="J13" s="85"/>
      <c r="K13" s="85"/>
      <c r="L13" s="85"/>
      <c r="M13" s="85"/>
      <c r="N13" s="85"/>
      <c r="O13" s="85"/>
      <c r="P13" s="108" t="s">
        <v>86</v>
      </c>
      <c r="Q13" s="90">
        <f t="shared" si="0"/>
        <v>27.453230000000001</v>
      </c>
      <c r="R13" s="90">
        <f t="shared" si="0"/>
        <v>4.8880039999999996</v>
      </c>
    </row>
    <row r="14" spans="1:18" x14ac:dyDescent="0.2">
      <c r="A14" s="95">
        <v>6</v>
      </c>
      <c r="B14" s="95">
        <v>13</v>
      </c>
      <c r="C14" s="84" t="s">
        <v>80</v>
      </c>
      <c r="D14" s="85" t="s">
        <v>32</v>
      </c>
      <c r="E14" s="85" t="s">
        <v>84</v>
      </c>
      <c r="F14" s="177">
        <v>31</v>
      </c>
      <c r="G14" s="186" t="s">
        <v>85</v>
      </c>
      <c r="H14" s="179">
        <v>21.628064516129029</v>
      </c>
      <c r="I14" s="179">
        <v>1.5008962197186031</v>
      </c>
      <c r="J14" s="85"/>
      <c r="K14" s="85"/>
      <c r="L14" s="85"/>
      <c r="M14" s="85"/>
      <c r="N14" s="85"/>
      <c r="O14" s="85"/>
      <c r="P14" s="108" t="s">
        <v>86</v>
      </c>
      <c r="Q14" s="90">
        <f t="shared" si="0"/>
        <v>21.628064516129029</v>
      </c>
      <c r="R14" s="90">
        <f t="shared" si="0"/>
        <v>1.5008962197186031</v>
      </c>
    </row>
    <row r="15" spans="1:18" x14ac:dyDescent="0.2">
      <c r="A15" s="95">
        <v>6</v>
      </c>
      <c r="B15" s="95">
        <v>14</v>
      </c>
      <c r="C15" s="84" t="s">
        <v>80</v>
      </c>
      <c r="D15" s="85" t="s">
        <v>32</v>
      </c>
      <c r="E15" s="85" t="s">
        <v>81</v>
      </c>
      <c r="F15" s="177">
        <v>31</v>
      </c>
      <c r="G15" s="185" t="s">
        <v>85</v>
      </c>
      <c r="H15" s="179">
        <v>23.759032258064519</v>
      </c>
      <c r="I15" s="179">
        <v>3.14939396798676</v>
      </c>
      <c r="J15" s="85"/>
      <c r="K15" s="85"/>
      <c r="L15" s="85"/>
      <c r="M15" s="85"/>
      <c r="N15" s="85"/>
      <c r="O15" s="85"/>
      <c r="P15" s="108" t="s">
        <v>86</v>
      </c>
      <c r="Q15" s="90">
        <f t="shared" si="0"/>
        <v>23.759032258064519</v>
      </c>
      <c r="R15" s="90">
        <f t="shared" si="0"/>
        <v>3.14939396798676</v>
      </c>
    </row>
    <row r="16" spans="1:18" x14ac:dyDescent="0.2">
      <c r="A16" s="95">
        <v>6</v>
      </c>
      <c r="B16" s="95">
        <v>15</v>
      </c>
      <c r="C16" s="84" t="s">
        <v>80</v>
      </c>
      <c r="D16" s="85" t="s">
        <v>32</v>
      </c>
      <c r="E16" s="91" t="s">
        <v>87</v>
      </c>
      <c r="F16" s="177">
        <v>31</v>
      </c>
      <c r="G16" s="185" t="s">
        <v>85</v>
      </c>
      <c r="H16" s="179">
        <v>25.185806451612901</v>
      </c>
      <c r="I16" s="179">
        <v>2.0468036450256588</v>
      </c>
      <c r="J16" s="85"/>
      <c r="K16" s="85"/>
      <c r="L16" s="85"/>
      <c r="M16" s="85"/>
      <c r="N16" s="85"/>
      <c r="O16" s="85"/>
      <c r="P16" s="108" t="s">
        <v>86</v>
      </c>
      <c r="Q16" s="90">
        <f t="shared" si="0"/>
        <v>25.185806451612901</v>
      </c>
      <c r="R16" s="90">
        <f t="shared" si="0"/>
        <v>2.0468036450256588</v>
      </c>
    </row>
    <row r="17" spans="1:18" x14ac:dyDescent="0.2">
      <c r="A17" s="95">
        <v>7</v>
      </c>
      <c r="B17" s="95">
        <v>16</v>
      </c>
      <c r="C17" s="84" t="s">
        <v>80</v>
      </c>
      <c r="D17" s="85" t="s">
        <v>35</v>
      </c>
      <c r="E17" s="85" t="s">
        <v>84</v>
      </c>
      <c r="F17" s="88">
        <v>16</v>
      </c>
      <c r="G17" s="138" t="s">
        <v>85</v>
      </c>
      <c r="H17" s="101">
        <v>18.961874999999999</v>
      </c>
      <c r="I17" s="101">
        <v>3.6705680191672432</v>
      </c>
      <c r="J17" s="85"/>
      <c r="K17" s="85"/>
      <c r="L17" s="85"/>
      <c r="M17" s="85"/>
      <c r="N17" s="85"/>
      <c r="O17" s="85"/>
      <c r="P17" s="108" t="s">
        <v>86</v>
      </c>
      <c r="Q17" s="90">
        <f t="shared" si="0"/>
        <v>18.961874999999999</v>
      </c>
      <c r="R17" s="90">
        <f t="shared" si="0"/>
        <v>3.6705680191672432</v>
      </c>
    </row>
    <row r="18" spans="1:18" x14ac:dyDescent="0.2">
      <c r="A18" s="95">
        <v>7</v>
      </c>
      <c r="B18" s="95">
        <v>17</v>
      </c>
      <c r="C18" s="84" t="s">
        <v>80</v>
      </c>
      <c r="D18" s="85" t="s">
        <v>35</v>
      </c>
      <c r="E18" s="85" t="s">
        <v>81</v>
      </c>
      <c r="F18" s="88">
        <v>16</v>
      </c>
      <c r="G18" s="138" t="s">
        <v>85</v>
      </c>
      <c r="H18" s="102">
        <v>25.274374999999999</v>
      </c>
      <c r="I18" s="102">
        <v>5.7108025924558099</v>
      </c>
      <c r="J18" s="85"/>
      <c r="K18" s="85"/>
      <c r="L18" s="85"/>
      <c r="M18" s="85"/>
      <c r="N18" s="85"/>
      <c r="O18" s="85"/>
      <c r="P18" s="108" t="s">
        <v>86</v>
      </c>
      <c r="Q18" s="90">
        <f t="shared" si="0"/>
        <v>25.274374999999999</v>
      </c>
      <c r="R18" s="90">
        <f t="shared" si="0"/>
        <v>5.7108025924558099</v>
      </c>
    </row>
    <row r="19" spans="1:18" x14ac:dyDescent="0.2">
      <c r="A19" s="95">
        <v>7</v>
      </c>
      <c r="B19" s="95">
        <v>18</v>
      </c>
      <c r="C19" s="84" t="s">
        <v>80</v>
      </c>
      <c r="D19" s="85" t="s">
        <v>35</v>
      </c>
      <c r="E19" s="91" t="s">
        <v>87</v>
      </c>
      <c r="F19" s="88">
        <v>16</v>
      </c>
      <c r="G19" s="138" t="s">
        <v>85</v>
      </c>
      <c r="H19" s="101">
        <v>28.064374999999998</v>
      </c>
      <c r="I19" s="101">
        <v>7.645492762623828</v>
      </c>
      <c r="J19" s="85"/>
      <c r="K19" s="85"/>
      <c r="L19" s="85"/>
      <c r="M19" s="85"/>
      <c r="N19" s="85"/>
      <c r="O19" s="85"/>
      <c r="P19" s="108" t="s">
        <v>86</v>
      </c>
      <c r="Q19" s="90">
        <f t="shared" si="0"/>
        <v>28.064374999999998</v>
      </c>
      <c r="R19" s="90">
        <f t="shared" si="0"/>
        <v>7.645492762623828</v>
      </c>
    </row>
    <row r="20" spans="1:18" x14ac:dyDescent="0.2">
      <c r="A20" s="95">
        <v>8</v>
      </c>
      <c r="B20" s="95">
        <v>19</v>
      </c>
      <c r="C20" s="84" t="s">
        <v>80</v>
      </c>
      <c r="D20" s="85" t="s">
        <v>38</v>
      </c>
      <c r="E20" s="85" t="s">
        <v>84</v>
      </c>
      <c r="F20" s="88">
        <v>16</v>
      </c>
      <c r="G20" s="138" t="s">
        <v>85</v>
      </c>
      <c r="H20" s="101">
        <v>17.943750000000001</v>
      </c>
      <c r="I20" s="101">
        <v>4.842393175555519</v>
      </c>
      <c r="J20" s="85"/>
      <c r="K20" s="85"/>
      <c r="L20" s="85"/>
      <c r="M20" s="85"/>
      <c r="N20" s="85"/>
      <c r="O20" s="85"/>
      <c r="P20" s="108" t="s">
        <v>86</v>
      </c>
      <c r="Q20" s="90">
        <f t="shared" si="0"/>
        <v>17.943750000000001</v>
      </c>
      <c r="R20" s="90">
        <f t="shared" si="0"/>
        <v>4.842393175555519</v>
      </c>
    </row>
    <row r="21" spans="1:18" x14ac:dyDescent="0.2">
      <c r="A21" s="95">
        <v>8</v>
      </c>
      <c r="B21" s="95">
        <v>20</v>
      </c>
      <c r="C21" s="84" t="s">
        <v>80</v>
      </c>
      <c r="D21" s="85" t="s">
        <v>38</v>
      </c>
      <c r="E21" s="85" t="s">
        <v>81</v>
      </c>
      <c r="F21" s="88">
        <v>16</v>
      </c>
      <c r="G21" s="138" t="s">
        <v>85</v>
      </c>
      <c r="H21" s="101">
        <v>23.188124999999999</v>
      </c>
      <c r="I21" s="101">
        <v>3.9976746886992518</v>
      </c>
      <c r="J21" s="85"/>
      <c r="K21" s="85"/>
      <c r="L21" s="85"/>
      <c r="M21" s="85"/>
      <c r="N21" s="85"/>
      <c r="O21" s="85"/>
      <c r="P21" s="108" t="s">
        <v>86</v>
      </c>
      <c r="Q21" s="90">
        <f t="shared" si="0"/>
        <v>23.188124999999999</v>
      </c>
      <c r="R21" s="90">
        <f t="shared" si="0"/>
        <v>3.9976746886992518</v>
      </c>
    </row>
    <row r="22" spans="1:18" x14ac:dyDescent="0.2">
      <c r="A22" s="95">
        <v>8</v>
      </c>
      <c r="B22" s="95">
        <v>21</v>
      </c>
      <c r="C22" s="84" t="s">
        <v>80</v>
      </c>
      <c r="D22" s="85" t="s">
        <v>38</v>
      </c>
      <c r="E22" s="91" t="s">
        <v>87</v>
      </c>
      <c r="F22" s="88">
        <v>16</v>
      </c>
      <c r="G22" s="138" t="s">
        <v>85</v>
      </c>
      <c r="H22" s="101">
        <v>23.920625000000001</v>
      </c>
      <c r="I22" s="101">
        <v>2.5611494001717281</v>
      </c>
      <c r="J22" s="85"/>
      <c r="K22" s="85"/>
      <c r="L22" s="85"/>
      <c r="M22" s="85"/>
      <c r="N22" s="85"/>
      <c r="O22" s="85"/>
      <c r="P22" s="108" t="s">
        <v>86</v>
      </c>
      <c r="Q22" s="90">
        <f t="shared" si="0"/>
        <v>23.920625000000001</v>
      </c>
      <c r="R22" s="90">
        <f t="shared" si="0"/>
        <v>2.5611494001717281</v>
      </c>
    </row>
    <row r="23" spans="1:18" x14ac:dyDescent="0.2">
      <c r="A23" s="95">
        <v>9</v>
      </c>
      <c r="B23" s="95">
        <v>22</v>
      </c>
      <c r="C23" s="84" t="s">
        <v>80</v>
      </c>
      <c r="D23" s="85" t="s">
        <v>40</v>
      </c>
      <c r="E23" s="85" t="s">
        <v>84</v>
      </c>
      <c r="F23" s="92">
        <v>16</v>
      </c>
      <c r="G23" s="138" t="s">
        <v>85</v>
      </c>
      <c r="H23" s="101">
        <v>18.962499999999999</v>
      </c>
      <c r="I23" s="101">
        <v>5.2389750906069414</v>
      </c>
      <c r="J23" s="85"/>
      <c r="K23" s="85"/>
      <c r="L23" s="85"/>
      <c r="M23" s="85"/>
      <c r="N23" s="85"/>
      <c r="O23" s="85"/>
      <c r="P23" s="108" t="s">
        <v>86</v>
      </c>
      <c r="Q23" s="93">
        <f t="shared" si="0"/>
        <v>18.962499999999999</v>
      </c>
      <c r="R23" s="93">
        <f t="shared" si="0"/>
        <v>5.2389750906069414</v>
      </c>
    </row>
    <row r="24" spans="1:18" x14ac:dyDescent="0.2">
      <c r="A24" s="95">
        <v>9</v>
      </c>
      <c r="B24" s="95">
        <v>23</v>
      </c>
      <c r="C24" s="84" t="s">
        <v>80</v>
      </c>
      <c r="D24" s="85" t="s">
        <v>40</v>
      </c>
      <c r="E24" s="85" t="s">
        <v>81</v>
      </c>
      <c r="F24" s="92">
        <v>16</v>
      </c>
      <c r="G24" s="138" t="s">
        <v>85</v>
      </c>
      <c r="H24" s="101">
        <v>25.998125000000002</v>
      </c>
      <c r="I24" s="101">
        <v>5.4787276123202187</v>
      </c>
      <c r="J24" s="85"/>
      <c r="K24" s="85"/>
      <c r="L24" s="85"/>
      <c r="M24" s="85"/>
      <c r="N24" s="85"/>
      <c r="O24" s="85"/>
      <c r="P24" s="108" t="s">
        <v>86</v>
      </c>
      <c r="Q24" s="93">
        <f>H24</f>
        <v>25.998125000000002</v>
      </c>
      <c r="R24" s="93">
        <f t="shared" si="0"/>
        <v>5.4787276123202187</v>
      </c>
    </row>
    <row r="25" spans="1:18" x14ac:dyDescent="0.2">
      <c r="A25" s="95">
        <v>9</v>
      </c>
      <c r="B25" s="95">
        <v>24</v>
      </c>
      <c r="C25" s="84" t="s">
        <v>80</v>
      </c>
      <c r="D25" s="85" t="s">
        <v>40</v>
      </c>
      <c r="E25" s="91" t="s">
        <v>87</v>
      </c>
      <c r="F25" s="92">
        <v>16</v>
      </c>
      <c r="G25" s="138" t="s">
        <v>85</v>
      </c>
      <c r="H25" s="101">
        <v>27.894375</v>
      </c>
      <c r="I25" s="101">
        <v>6.5285158790749156</v>
      </c>
      <c r="J25" s="85"/>
      <c r="K25" s="85"/>
      <c r="L25" s="85"/>
      <c r="M25" s="85"/>
      <c r="N25" s="85"/>
      <c r="O25" s="85"/>
      <c r="P25" s="108" t="s">
        <v>86</v>
      </c>
      <c r="Q25" s="93">
        <f t="shared" si="0"/>
        <v>27.894375</v>
      </c>
      <c r="R25" s="93">
        <f t="shared" si="0"/>
        <v>6.5285158790749156</v>
      </c>
    </row>
    <row r="26" spans="1:18" x14ac:dyDescent="0.2">
      <c r="A26" s="95">
        <v>10</v>
      </c>
      <c r="B26" s="95">
        <v>25</v>
      </c>
      <c r="C26" s="84" t="s">
        <v>80</v>
      </c>
      <c r="D26" s="176" t="s">
        <v>193</v>
      </c>
      <c r="E26" s="176" t="s">
        <v>84</v>
      </c>
      <c r="F26" s="177">
        <v>16</v>
      </c>
      <c r="G26" s="178" t="s">
        <v>85</v>
      </c>
      <c r="H26" s="179">
        <v>18.281874999999999</v>
      </c>
      <c r="I26" s="179">
        <v>4.1161700948818911</v>
      </c>
      <c r="J26" s="85"/>
      <c r="K26" s="85"/>
      <c r="L26" s="85"/>
      <c r="M26" s="85"/>
      <c r="N26" s="85"/>
      <c r="O26" s="85"/>
      <c r="P26" s="108" t="s">
        <v>86</v>
      </c>
      <c r="Q26" s="93">
        <f t="shared" si="0"/>
        <v>18.281874999999999</v>
      </c>
      <c r="R26" s="93">
        <f t="shared" si="0"/>
        <v>4.1161700948818911</v>
      </c>
    </row>
    <row r="27" spans="1:18" x14ac:dyDescent="0.2">
      <c r="A27" s="95">
        <v>10</v>
      </c>
      <c r="B27" s="95">
        <v>26</v>
      </c>
      <c r="C27" s="84" t="s">
        <v>80</v>
      </c>
      <c r="D27" s="176" t="s">
        <v>193</v>
      </c>
      <c r="E27" s="176" t="s">
        <v>81</v>
      </c>
      <c r="F27" s="177">
        <v>16</v>
      </c>
      <c r="G27" s="178" t="s">
        <v>85</v>
      </c>
      <c r="H27" s="179">
        <v>23.443124999999998</v>
      </c>
      <c r="I27" s="179">
        <v>4.9568050445826488</v>
      </c>
      <c r="J27" s="85"/>
      <c r="K27" s="85"/>
      <c r="L27" s="85"/>
      <c r="M27" s="85"/>
      <c r="N27" s="85"/>
      <c r="O27" s="85"/>
      <c r="P27" s="108" t="s">
        <v>86</v>
      </c>
      <c r="Q27" s="93">
        <f t="shared" ref="Q27:R31" si="1">H27</f>
        <v>23.443124999999998</v>
      </c>
      <c r="R27" s="93">
        <f t="shared" si="1"/>
        <v>4.9568050445826488</v>
      </c>
    </row>
    <row r="28" spans="1:18" x14ac:dyDescent="0.2">
      <c r="A28" s="95">
        <v>10</v>
      </c>
      <c r="B28" s="95">
        <v>27</v>
      </c>
      <c r="C28" s="84" t="s">
        <v>80</v>
      </c>
      <c r="D28" s="176" t="s">
        <v>193</v>
      </c>
      <c r="E28" s="176" t="s">
        <v>87</v>
      </c>
      <c r="F28" s="177">
        <v>16</v>
      </c>
      <c r="G28" s="178" t="s">
        <v>85</v>
      </c>
      <c r="H28" s="179">
        <v>24.62875</v>
      </c>
      <c r="I28" s="179">
        <v>2.73435641422255</v>
      </c>
      <c r="J28" s="85"/>
      <c r="K28" s="85"/>
      <c r="L28" s="85"/>
      <c r="M28" s="85"/>
      <c r="N28" s="85"/>
      <c r="O28" s="85"/>
      <c r="P28" s="108" t="s">
        <v>86</v>
      </c>
      <c r="Q28" s="93">
        <f t="shared" si="1"/>
        <v>24.62875</v>
      </c>
      <c r="R28" s="93">
        <f t="shared" si="1"/>
        <v>2.73435641422255</v>
      </c>
    </row>
    <row r="29" spans="1:18" x14ac:dyDescent="0.2">
      <c r="A29" s="95">
        <v>11</v>
      </c>
      <c r="B29" s="95">
        <v>28</v>
      </c>
      <c r="C29" s="84" t="s">
        <v>80</v>
      </c>
      <c r="D29" s="176" t="s">
        <v>196</v>
      </c>
      <c r="E29" s="176" t="s">
        <v>84</v>
      </c>
      <c r="F29" s="177">
        <v>16</v>
      </c>
      <c r="G29" s="178" t="s">
        <v>85</v>
      </c>
      <c r="H29" s="179">
        <v>15.225625000000001</v>
      </c>
      <c r="I29" s="179">
        <v>2.3684311790719188</v>
      </c>
      <c r="J29" s="85"/>
      <c r="K29" s="85"/>
      <c r="L29" s="85"/>
      <c r="M29" s="85"/>
      <c r="N29" s="85"/>
      <c r="O29" s="85"/>
      <c r="P29" s="108" t="s">
        <v>86</v>
      </c>
      <c r="Q29" s="93">
        <f t="shared" si="1"/>
        <v>15.225625000000001</v>
      </c>
      <c r="R29" s="93">
        <f t="shared" si="1"/>
        <v>2.3684311790719188</v>
      </c>
    </row>
    <row r="30" spans="1:18" x14ac:dyDescent="0.2">
      <c r="A30" s="95">
        <v>11</v>
      </c>
      <c r="B30" s="95">
        <v>29</v>
      </c>
      <c r="C30" s="84" t="s">
        <v>80</v>
      </c>
      <c r="D30" s="176" t="s">
        <v>196</v>
      </c>
      <c r="E30" s="176" t="s">
        <v>81</v>
      </c>
      <c r="F30" s="177">
        <v>16</v>
      </c>
      <c r="G30" s="178" t="s">
        <v>85</v>
      </c>
      <c r="H30" s="179">
        <v>23.736875000000001</v>
      </c>
      <c r="I30" s="179">
        <v>2.5455548674765049</v>
      </c>
      <c r="J30" s="85"/>
      <c r="K30" s="85"/>
      <c r="L30" s="85"/>
      <c r="M30" s="85"/>
      <c r="N30" s="85"/>
      <c r="O30" s="85"/>
      <c r="P30" s="108" t="s">
        <v>86</v>
      </c>
      <c r="Q30" s="93">
        <f t="shared" si="1"/>
        <v>23.736875000000001</v>
      </c>
      <c r="R30" s="93">
        <f t="shared" si="1"/>
        <v>2.5455548674765049</v>
      </c>
    </row>
    <row r="31" spans="1:18" x14ac:dyDescent="0.2">
      <c r="A31" s="95">
        <v>11</v>
      </c>
      <c r="B31" s="95">
        <v>30</v>
      </c>
      <c r="C31" s="84" t="s">
        <v>80</v>
      </c>
      <c r="D31" s="176" t="s">
        <v>196</v>
      </c>
      <c r="E31" s="176" t="s">
        <v>87</v>
      </c>
      <c r="F31" s="177">
        <v>16</v>
      </c>
      <c r="G31" s="178" t="s">
        <v>85</v>
      </c>
      <c r="H31" s="179">
        <v>24.7</v>
      </c>
      <c r="I31" s="179">
        <v>2.1596079891190119</v>
      </c>
      <c r="J31" s="85"/>
      <c r="K31" s="85"/>
      <c r="L31" s="85"/>
      <c r="M31" s="85"/>
      <c r="N31" s="85"/>
      <c r="O31" s="85"/>
      <c r="P31" s="108" t="s">
        <v>86</v>
      </c>
      <c r="Q31" s="93">
        <f t="shared" si="1"/>
        <v>24.7</v>
      </c>
      <c r="R31" s="93">
        <f t="shared" si="1"/>
        <v>2.1596079891190119</v>
      </c>
    </row>
    <row r="32" spans="1:18" x14ac:dyDescent="0.2">
      <c r="A32" s="95">
        <v>4</v>
      </c>
      <c r="B32" s="95">
        <v>31</v>
      </c>
      <c r="C32" s="84" t="s">
        <v>80</v>
      </c>
      <c r="D32" s="85" t="s">
        <v>26</v>
      </c>
      <c r="E32" s="85" t="s">
        <v>84</v>
      </c>
      <c r="F32" s="88">
        <v>3</v>
      </c>
      <c r="G32" s="139" t="s">
        <v>89</v>
      </c>
      <c r="H32" s="85"/>
      <c r="I32" s="85"/>
      <c r="J32" s="85">
        <v>2.52</v>
      </c>
      <c r="K32" s="85"/>
      <c r="L32" s="85"/>
      <c r="M32" s="85">
        <v>2.0499999999999998</v>
      </c>
      <c r="N32" s="85">
        <v>2.58</v>
      </c>
      <c r="O32" s="85"/>
      <c r="P32" s="162" t="s">
        <v>90</v>
      </c>
      <c r="Q32" s="163">
        <f>(M32+2*J32+N32)/4</f>
        <v>2.4175</v>
      </c>
      <c r="R32" s="164">
        <f>(N32-M32)/(2*_xlfn.NORM.S.INV((F32-0.375)/(F32+0.25)))</f>
        <v>0.30479957891828641</v>
      </c>
    </row>
    <row r="33" spans="1:18" x14ac:dyDescent="0.2">
      <c r="A33" s="95">
        <v>4</v>
      </c>
      <c r="B33" s="95">
        <v>32</v>
      </c>
      <c r="C33" s="84" t="s">
        <v>80</v>
      </c>
      <c r="D33" s="85" t="s">
        <v>26</v>
      </c>
      <c r="E33" s="85" t="s">
        <v>81</v>
      </c>
      <c r="F33" s="88">
        <v>3</v>
      </c>
      <c r="G33" s="140" t="s">
        <v>89</v>
      </c>
      <c r="H33" s="85"/>
      <c r="I33" s="85"/>
      <c r="J33" s="85">
        <v>1.88</v>
      </c>
      <c r="K33" s="85"/>
      <c r="L33" s="85"/>
      <c r="M33" s="85">
        <v>1.81</v>
      </c>
      <c r="N33" s="85">
        <v>1.94</v>
      </c>
      <c r="O33" s="85"/>
      <c r="P33" s="162" t="s">
        <v>90</v>
      </c>
      <c r="Q33" s="163">
        <f>(M33+2*J33+N33)/4</f>
        <v>1.8774999999999999</v>
      </c>
      <c r="R33" s="164">
        <f>(N33-M33)/(2*_xlfn.NORM.S.INV((F33-0.375)/(F33+0.25)))</f>
        <v>7.4762160866749403E-2</v>
      </c>
    </row>
    <row r="34" spans="1:18" x14ac:dyDescent="0.2">
      <c r="A34" s="95">
        <v>4</v>
      </c>
      <c r="B34" s="95">
        <v>33</v>
      </c>
      <c r="C34" s="84" t="s">
        <v>80</v>
      </c>
      <c r="D34" s="85" t="s">
        <v>26</v>
      </c>
      <c r="E34" s="91" t="s">
        <v>87</v>
      </c>
      <c r="F34" s="88">
        <v>3</v>
      </c>
      <c r="G34" s="140" t="s">
        <v>89</v>
      </c>
      <c r="H34" s="85"/>
      <c r="I34" s="85"/>
      <c r="J34" s="85">
        <v>5.8</v>
      </c>
      <c r="K34" s="85"/>
      <c r="L34" s="85"/>
      <c r="M34" s="85">
        <v>5.75</v>
      </c>
      <c r="N34" s="85">
        <v>5.92</v>
      </c>
      <c r="O34" s="85"/>
      <c r="P34" s="162" t="s">
        <v>90</v>
      </c>
      <c r="Q34" s="163">
        <f>(M34+2*J34+N34)/4</f>
        <v>5.8175000000000008</v>
      </c>
      <c r="R34" s="164">
        <f>(N34-M34)/(2*_xlfn.NORM.S.INV((F34-0.375)/(F34+0.25)))</f>
        <v>9.7765902671903104E-2</v>
      </c>
    </row>
    <row r="35" spans="1:18" x14ac:dyDescent="0.2">
      <c r="A35" s="95">
        <v>12</v>
      </c>
      <c r="B35" s="95">
        <v>34</v>
      </c>
      <c r="C35" s="84" t="s">
        <v>80</v>
      </c>
      <c r="D35" s="85" t="s">
        <v>42</v>
      </c>
      <c r="E35" s="85" t="s">
        <v>84</v>
      </c>
      <c r="F35" s="88">
        <v>9</v>
      </c>
      <c r="G35" s="140" t="s">
        <v>89</v>
      </c>
      <c r="H35" s="85"/>
      <c r="I35" s="85"/>
      <c r="J35" s="85">
        <v>12.94</v>
      </c>
      <c r="K35" s="85">
        <v>8.24</v>
      </c>
      <c r="L35" s="85">
        <v>14.51</v>
      </c>
      <c r="M35" s="85"/>
      <c r="N35" s="85"/>
      <c r="O35" s="85"/>
      <c r="P35" s="167" t="s">
        <v>57</v>
      </c>
      <c r="Q35" s="168">
        <f>(J35+K35+L35)/3</f>
        <v>11.896666666666667</v>
      </c>
      <c r="R35" s="166">
        <f>(L35-K35)/(2*_xlfn.NORM.S.INV((0.75*F35-0.125)/(F35+0.25)))</f>
        <v>5.48424458155477</v>
      </c>
    </row>
    <row r="36" spans="1:18" x14ac:dyDescent="0.2">
      <c r="A36" s="95">
        <v>12</v>
      </c>
      <c r="B36" s="95">
        <v>35</v>
      </c>
      <c r="C36" s="84" t="s">
        <v>80</v>
      </c>
      <c r="D36" s="85" t="s">
        <v>42</v>
      </c>
      <c r="E36" s="85" t="s">
        <v>81</v>
      </c>
      <c r="F36" s="88">
        <v>9</v>
      </c>
      <c r="G36" s="140" t="s">
        <v>89</v>
      </c>
      <c r="H36" s="85"/>
      <c r="I36" s="85"/>
      <c r="J36" s="85">
        <v>6.66</v>
      </c>
      <c r="K36" s="85">
        <v>4.51</v>
      </c>
      <c r="L36" s="85">
        <v>7.25</v>
      </c>
      <c r="M36" s="85"/>
      <c r="N36" s="85"/>
      <c r="O36" s="85"/>
      <c r="P36" s="167" t="s">
        <v>57</v>
      </c>
      <c r="Q36" s="168">
        <f>(J36+K36+L36)/3</f>
        <v>6.1400000000000006</v>
      </c>
      <c r="R36" s="166">
        <f>(L36-K36)/(2*_xlfn.NORM.S.INV((0.75*F36-0.125)/(F36+0.25)))</f>
        <v>2.3966236289410006</v>
      </c>
    </row>
    <row r="37" spans="1:18" x14ac:dyDescent="0.2">
      <c r="A37" s="95">
        <v>12</v>
      </c>
      <c r="B37" s="95">
        <v>36</v>
      </c>
      <c r="C37" s="84" t="s">
        <v>80</v>
      </c>
      <c r="D37" s="85" t="s">
        <v>42</v>
      </c>
      <c r="E37" s="85" t="s">
        <v>83</v>
      </c>
      <c r="F37" s="88">
        <v>9</v>
      </c>
      <c r="G37" s="140" t="s">
        <v>89</v>
      </c>
      <c r="H37" s="85"/>
      <c r="I37" s="85"/>
      <c r="J37" s="85">
        <v>5.0999999999999996</v>
      </c>
      <c r="K37" s="85">
        <v>4.9000000000000004</v>
      </c>
      <c r="L37" s="85">
        <v>5.69</v>
      </c>
      <c r="M37" s="85"/>
      <c r="N37" s="85"/>
      <c r="O37" s="85"/>
      <c r="P37" s="167" t="s">
        <v>57</v>
      </c>
      <c r="Q37" s="168">
        <f>(J37+K37+L37)/3</f>
        <v>5.23</v>
      </c>
      <c r="R37" s="166">
        <f>(L37-K37)/(2*_xlfn.NORM.S.INV((0.75*F37-0.125)/(F37+0.25)))</f>
        <v>0.69099732367277011</v>
      </c>
    </row>
    <row r="38" spans="1:18" x14ac:dyDescent="0.2">
      <c r="A38" s="95">
        <v>12</v>
      </c>
      <c r="B38" s="95">
        <v>37</v>
      </c>
      <c r="C38" s="84" t="s">
        <v>80</v>
      </c>
      <c r="D38" s="85" t="s">
        <v>42</v>
      </c>
      <c r="E38" s="91" t="s">
        <v>87</v>
      </c>
      <c r="F38" s="88">
        <v>9</v>
      </c>
      <c r="G38" s="140" t="s">
        <v>89</v>
      </c>
      <c r="H38" s="85"/>
      <c r="I38" s="85"/>
      <c r="J38" s="85">
        <v>9.02</v>
      </c>
      <c r="K38" s="85">
        <v>7.25</v>
      </c>
      <c r="L38" s="85">
        <v>11.96</v>
      </c>
      <c r="M38" s="85"/>
      <c r="N38" s="85"/>
      <c r="O38" s="85"/>
      <c r="P38" s="167" t="s">
        <v>57</v>
      </c>
      <c r="Q38" s="168">
        <f>(J38+K38+L38)/3</f>
        <v>9.41</v>
      </c>
      <c r="R38" s="166">
        <f>(L38-K38)/(2*_xlfn.NORM.S.INV((0.75*F38-0.125)/(F38+0.25)))</f>
        <v>4.1197435373401872</v>
      </c>
    </row>
    <row r="39" spans="1:18" x14ac:dyDescent="0.2">
      <c r="A39" s="95">
        <v>13</v>
      </c>
      <c r="B39" s="95">
        <v>38</v>
      </c>
      <c r="C39" s="84" t="s">
        <v>80</v>
      </c>
      <c r="D39" s="85" t="s">
        <v>47</v>
      </c>
      <c r="E39" s="85" t="s">
        <v>84</v>
      </c>
      <c r="F39" s="88">
        <v>18</v>
      </c>
      <c r="G39" s="138" t="s">
        <v>91</v>
      </c>
      <c r="H39" s="85">
        <v>1109</v>
      </c>
      <c r="I39" s="85">
        <v>379</v>
      </c>
      <c r="J39" s="85"/>
      <c r="K39" s="85"/>
      <c r="L39" s="85"/>
      <c r="M39" s="85"/>
      <c r="N39" s="85"/>
      <c r="O39" s="85"/>
      <c r="P39" s="158" t="s">
        <v>60</v>
      </c>
      <c r="Q39" s="159">
        <f>H39</f>
        <v>1109</v>
      </c>
      <c r="R39" s="159">
        <f>I39</f>
        <v>379</v>
      </c>
    </row>
    <row r="40" spans="1:18" x14ac:dyDescent="0.2">
      <c r="A40" s="95">
        <v>13</v>
      </c>
      <c r="B40" s="95">
        <v>39</v>
      </c>
      <c r="C40" s="84" t="s">
        <v>80</v>
      </c>
      <c r="D40" s="85" t="s">
        <v>47</v>
      </c>
      <c r="E40" s="85" t="s">
        <v>81</v>
      </c>
      <c r="F40" s="88">
        <v>18</v>
      </c>
      <c r="G40" s="138" t="s">
        <v>91</v>
      </c>
      <c r="H40" s="85">
        <v>1005</v>
      </c>
      <c r="I40" s="85">
        <v>337</v>
      </c>
      <c r="J40" s="85"/>
      <c r="K40" s="85"/>
      <c r="L40" s="85"/>
      <c r="M40" s="85"/>
      <c r="N40" s="85"/>
      <c r="O40" s="85"/>
      <c r="P40" s="158" t="s">
        <v>60</v>
      </c>
      <c r="Q40" s="159">
        <f>H40</f>
        <v>1005</v>
      </c>
      <c r="R40" s="159">
        <f>I40</f>
        <v>337</v>
      </c>
    </row>
    <row r="41" spans="1:18" x14ac:dyDescent="0.2">
      <c r="A41" s="95">
        <v>14</v>
      </c>
      <c r="B41" s="95">
        <v>40</v>
      </c>
      <c r="C41" s="84" t="s">
        <v>80</v>
      </c>
      <c r="D41" s="176" t="s">
        <v>197</v>
      </c>
      <c r="E41" s="176" t="s">
        <v>84</v>
      </c>
      <c r="F41" s="180">
        <v>7</v>
      </c>
      <c r="G41" s="178" t="s">
        <v>215</v>
      </c>
      <c r="H41" s="176">
        <v>0.12</v>
      </c>
      <c r="I41" s="176"/>
      <c r="J41" s="176"/>
      <c r="K41" s="176"/>
      <c r="L41" s="176"/>
      <c r="M41" s="176"/>
      <c r="N41" s="176"/>
      <c r="O41" s="193">
        <v>0.02</v>
      </c>
      <c r="P41" s="196" t="s">
        <v>232</v>
      </c>
      <c r="Q41" s="197">
        <f>H41</f>
        <v>0.12</v>
      </c>
      <c r="R41" s="198">
        <f>O41*SQRT(F41)</f>
        <v>5.2915026221291815E-2</v>
      </c>
    </row>
    <row r="42" spans="1:18" x14ac:dyDescent="0.2">
      <c r="A42" s="95">
        <v>14</v>
      </c>
      <c r="B42" s="95">
        <v>41</v>
      </c>
      <c r="C42" s="84" t="s">
        <v>80</v>
      </c>
      <c r="D42" s="176" t="s">
        <v>197</v>
      </c>
      <c r="E42" s="176" t="s">
        <v>81</v>
      </c>
      <c r="F42" s="180">
        <v>7</v>
      </c>
      <c r="G42" s="178" t="s">
        <v>215</v>
      </c>
      <c r="H42" s="176">
        <v>0.15</v>
      </c>
      <c r="I42" s="176"/>
      <c r="J42" s="176"/>
      <c r="K42" s="176"/>
      <c r="L42" s="176"/>
      <c r="M42" s="176"/>
      <c r="N42" s="176"/>
      <c r="O42" s="193">
        <v>0.03</v>
      </c>
      <c r="P42" s="196" t="s">
        <v>232</v>
      </c>
      <c r="Q42" s="197">
        <f t="shared" ref="Q42:Q53" si="2">H42</f>
        <v>0.15</v>
      </c>
      <c r="R42" s="198">
        <f t="shared" ref="R42:R49" si="3">O42*SQRT(F42)</f>
        <v>7.9372539331937719E-2</v>
      </c>
    </row>
    <row r="43" spans="1:18" x14ac:dyDescent="0.2">
      <c r="A43" s="95">
        <v>14</v>
      </c>
      <c r="B43" s="95">
        <v>42</v>
      </c>
      <c r="C43" s="84" t="s">
        <v>80</v>
      </c>
      <c r="D43" s="176" t="s">
        <v>197</v>
      </c>
      <c r="E43" s="176" t="s">
        <v>83</v>
      </c>
      <c r="F43" s="180">
        <v>7</v>
      </c>
      <c r="G43" s="178" t="s">
        <v>215</v>
      </c>
      <c r="H43" s="176">
        <v>0.08</v>
      </c>
      <c r="I43" s="176"/>
      <c r="J43" s="176"/>
      <c r="K43" s="176"/>
      <c r="L43" s="176"/>
      <c r="M43" s="176"/>
      <c r="N43" s="176"/>
      <c r="O43" s="193">
        <v>0.02</v>
      </c>
      <c r="P43" s="196" t="s">
        <v>232</v>
      </c>
      <c r="Q43" s="197">
        <f t="shared" si="2"/>
        <v>0.08</v>
      </c>
      <c r="R43" s="198">
        <f t="shared" si="3"/>
        <v>5.2915026221291815E-2</v>
      </c>
    </row>
    <row r="44" spans="1:18" x14ac:dyDescent="0.2">
      <c r="A44" s="95">
        <v>15</v>
      </c>
      <c r="B44" s="95">
        <v>43</v>
      </c>
      <c r="C44" s="84" t="s">
        <v>80</v>
      </c>
      <c r="D44" s="176" t="s">
        <v>198</v>
      </c>
      <c r="E44" s="176" t="s">
        <v>84</v>
      </c>
      <c r="F44" s="180">
        <v>7</v>
      </c>
      <c r="G44" s="178" t="s">
        <v>215</v>
      </c>
      <c r="H44" s="176">
        <v>0.12</v>
      </c>
      <c r="I44" s="176"/>
      <c r="J44" s="176"/>
      <c r="K44" s="176"/>
      <c r="L44" s="176"/>
      <c r="M44" s="176"/>
      <c r="N44" s="176"/>
      <c r="O44" s="193">
        <v>0.03</v>
      </c>
      <c r="P44" s="196" t="s">
        <v>232</v>
      </c>
      <c r="Q44" s="197">
        <f t="shared" si="2"/>
        <v>0.12</v>
      </c>
      <c r="R44" s="198">
        <f t="shared" si="3"/>
        <v>7.9372539331937719E-2</v>
      </c>
    </row>
    <row r="45" spans="1:18" x14ac:dyDescent="0.2">
      <c r="A45" s="95">
        <v>15</v>
      </c>
      <c r="B45" s="95">
        <v>44</v>
      </c>
      <c r="C45" s="84" t="s">
        <v>80</v>
      </c>
      <c r="D45" s="176" t="s">
        <v>198</v>
      </c>
      <c r="E45" s="176" t="s">
        <v>81</v>
      </c>
      <c r="F45" s="180">
        <v>7</v>
      </c>
      <c r="G45" s="178" t="s">
        <v>215</v>
      </c>
      <c r="H45" s="176">
        <v>0.13</v>
      </c>
      <c r="I45" s="176"/>
      <c r="J45" s="176"/>
      <c r="K45" s="176"/>
      <c r="L45" s="176"/>
      <c r="M45" s="176"/>
      <c r="N45" s="176"/>
      <c r="O45" s="193">
        <v>0.04</v>
      </c>
      <c r="P45" s="196" t="s">
        <v>232</v>
      </c>
      <c r="Q45" s="197">
        <f t="shared" si="2"/>
        <v>0.13</v>
      </c>
      <c r="R45" s="198">
        <f t="shared" si="3"/>
        <v>0.10583005244258363</v>
      </c>
    </row>
    <row r="46" spans="1:18" x14ac:dyDescent="0.2">
      <c r="A46" s="95">
        <v>15</v>
      </c>
      <c r="B46" s="95">
        <v>45</v>
      </c>
      <c r="C46" s="84" t="s">
        <v>80</v>
      </c>
      <c r="D46" s="176" t="s">
        <v>198</v>
      </c>
      <c r="E46" s="176" t="s">
        <v>83</v>
      </c>
      <c r="F46" s="180">
        <v>7</v>
      </c>
      <c r="G46" s="178" t="s">
        <v>215</v>
      </c>
      <c r="H46" s="176">
        <v>0.12</v>
      </c>
      <c r="I46" s="176"/>
      <c r="J46" s="176"/>
      <c r="K46" s="176"/>
      <c r="L46" s="176"/>
      <c r="M46" s="176"/>
      <c r="N46" s="176"/>
      <c r="O46" s="193">
        <v>0.03</v>
      </c>
      <c r="P46" s="196" t="s">
        <v>232</v>
      </c>
      <c r="Q46" s="197">
        <f t="shared" si="2"/>
        <v>0.12</v>
      </c>
      <c r="R46" s="198">
        <f t="shared" si="3"/>
        <v>7.9372539331937719E-2</v>
      </c>
    </row>
    <row r="47" spans="1:18" x14ac:dyDescent="0.2">
      <c r="A47" s="95">
        <v>16</v>
      </c>
      <c r="B47" s="95">
        <v>46</v>
      </c>
      <c r="C47" s="84" t="s">
        <v>80</v>
      </c>
      <c r="D47" s="176" t="s">
        <v>199</v>
      </c>
      <c r="E47" s="176" t="s">
        <v>84</v>
      </c>
      <c r="F47" s="180">
        <v>7</v>
      </c>
      <c r="G47" s="178" t="s">
        <v>215</v>
      </c>
      <c r="H47" s="176">
        <v>0.11</v>
      </c>
      <c r="I47" s="176"/>
      <c r="J47" s="176"/>
      <c r="K47" s="176"/>
      <c r="L47" s="176"/>
      <c r="M47" s="176"/>
      <c r="N47" s="176"/>
      <c r="O47" s="193">
        <v>0.01</v>
      </c>
      <c r="P47" s="196" t="s">
        <v>232</v>
      </c>
      <c r="Q47" s="197">
        <f t="shared" si="2"/>
        <v>0.11</v>
      </c>
      <c r="R47" s="198">
        <f t="shared" si="3"/>
        <v>2.6457513110645908E-2</v>
      </c>
    </row>
    <row r="48" spans="1:18" x14ac:dyDescent="0.2">
      <c r="A48" s="95">
        <v>16</v>
      </c>
      <c r="B48" s="95">
        <v>47</v>
      </c>
      <c r="C48" s="84" t="s">
        <v>80</v>
      </c>
      <c r="D48" s="176" t="s">
        <v>199</v>
      </c>
      <c r="E48" s="176" t="s">
        <v>81</v>
      </c>
      <c r="F48" s="180">
        <v>7</v>
      </c>
      <c r="G48" s="178" t="s">
        <v>215</v>
      </c>
      <c r="H48" s="176">
        <v>0.12</v>
      </c>
      <c r="I48" s="176"/>
      <c r="J48" s="176"/>
      <c r="K48" s="176"/>
      <c r="L48" s="176"/>
      <c r="M48" s="176"/>
      <c r="N48" s="176"/>
      <c r="O48" s="193">
        <v>0.03</v>
      </c>
      <c r="P48" s="196" t="s">
        <v>232</v>
      </c>
      <c r="Q48" s="197">
        <f t="shared" si="2"/>
        <v>0.12</v>
      </c>
      <c r="R48" s="198">
        <f t="shared" si="3"/>
        <v>7.9372539331937719E-2</v>
      </c>
    </row>
    <row r="49" spans="1:18" x14ac:dyDescent="0.2">
      <c r="A49" s="95">
        <v>16</v>
      </c>
      <c r="B49" s="95">
        <v>48</v>
      </c>
      <c r="C49" s="84" t="s">
        <v>80</v>
      </c>
      <c r="D49" s="176" t="s">
        <v>199</v>
      </c>
      <c r="E49" s="176" t="s">
        <v>83</v>
      </c>
      <c r="F49" s="180">
        <v>7</v>
      </c>
      <c r="G49" s="178" t="s">
        <v>215</v>
      </c>
      <c r="H49" s="176">
        <v>0.11</v>
      </c>
      <c r="I49" s="176"/>
      <c r="J49" s="176"/>
      <c r="K49" s="176"/>
      <c r="L49" s="176"/>
      <c r="M49" s="176"/>
      <c r="N49" s="176"/>
      <c r="O49" s="193">
        <v>0.02</v>
      </c>
      <c r="P49" s="196" t="s">
        <v>232</v>
      </c>
      <c r="Q49" s="197">
        <f t="shared" si="2"/>
        <v>0.11</v>
      </c>
      <c r="R49" s="198">
        <f t="shared" si="3"/>
        <v>5.2915026221291815E-2</v>
      </c>
    </row>
    <row r="50" spans="1:18" x14ac:dyDescent="0.2">
      <c r="A50" s="95">
        <v>17</v>
      </c>
      <c r="B50" s="95">
        <v>49</v>
      </c>
      <c r="C50" s="84" t="s">
        <v>80</v>
      </c>
      <c r="D50" s="176" t="s">
        <v>200</v>
      </c>
      <c r="E50" s="176" t="s">
        <v>84</v>
      </c>
      <c r="F50" s="180">
        <v>16</v>
      </c>
      <c r="G50" s="178" t="s">
        <v>215</v>
      </c>
      <c r="H50" s="176">
        <v>0.05</v>
      </c>
      <c r="I50" s="176">
        <v>0.01</v>
      </c>
      <c r="J50" s="176"/>
      <c r="K50" s="176"/>
      <c r="L50" s="176"/>
      <c r="M50" s="176"/>
      <c r="N50" s="176"/>
      <c r="O50" s="193"/>
      <c r="P50" s="160" t="s">
        <v>60</v>
      </c>
      <c r="Q50" s="159">
        <f t="shared" si="2"/>
        <v>0.05</v>
      </c>
      <c r="R50" s="195">
        <f>I50</f>
        <v>0.01</v>
      </c>
    </row>
    <row r="51" spans="1:18" x14ac:dyDescent="0.2">
      <c r="A51" s="95">
        <v>17</v>
      </c>
      <c r="B51" s="95">
        <v>50</v>
      </c>
      <c r="C51" s="84" t="s">
        <v>80</v>
      </c>
      <c r="D51" s="176" t="s">
        <v>200</v>
      </c>
      <c r="E51" s="176" t="s">
        <v>81</v>
      </c>
      <c r="F51" s="177">
        <v>16</v>
      </c>
      <c r="G51" s="178" t="s">
        <v>215</v>
      </c>
      <c r="H51" s="176">
        <v>0.06</v>
      </c>
      <c r="I51" s="176">
        <v>0.01</v>
      </c>
      <c r="J51" s="176"/>
      <c r="K51" s="176"/>
      <c r="L51" s="176"/>
      <c r="M51" s="176"/>
      <c r="N51" s="176"/>
      <c r="O51" s="193"/>
      <c r="P51" s="158" t="s">
        <v>60</v>
      </c>
      <c r="Q51" s="159">
        <f t="shared" si="2"/>
        <v>0.06</v>
      </c>
      <c r="R51" s="195">
        <f t="shared" ref="R51:R53" si="4">I51</f>
        <v>0.01</v>
      </c>
    </row>
    <row r="52" spans="1:18" x14ac:dyDescent="0.2">
      <c r="A52" s="95">
        <v>18</v>
      </c>
      <c r="B52" s="95">
        <v>51</v>
      </c>
      <c r="C52" s="84" t="s">
        <v>80</v>
      </c>
      <c r="D52" s="176" t="s">
        <v>201</v>
      </c>
      <c r="E52" s="176" t="s">
        <v>84</v>
      </c>
      <c r="F52" s="180">
        <v>10</v>
      </c>
      <c r="G52" s="178" t="s">
        <v>215</v>
      </c>
      <c r="H52" s="176">
        <v>0.03</v>
      </c>
      <c r="I52" s="176">
        <v>0.01</v>
      </c>
      <c r="J52" s="176"/>
      <c r="K52" s="176"/>
      <c r="L52" s="176"/>
      <c r="M52" s="176"/>
      <c r="N52" s="176"/>
      <c r="O52" s="193"/>
      <c r="P52" s="158" t="s">
        <v>60</v>
      </c>
      <c r="Q52" s="159">
        <f t="shared" si="2"/>
        <v>0.03</v>
      </c>
      <c r="R52" s="195">
        <f t="shared" si="4"/>
        <v>0.01</v>
      </c>
    </row>
    <row r="53" spans="1:18" x14ac:dyDescent="0.2">
      <c r="A53" s="95">
        <v>18</v>
      </c>
      <c r="B53" s="95">
        <v>52</v>
      </c>
      <c r="C53" s="84" t="s">
        <v>80</v>
      </c>
      <c r="D53" s="176" t="s">
        <v>201</v>
      </c>
      <c r="E53" s="176" t="s">
        <v>81</v>
      </c>
      <c r="F53" s="180">
        <v>10</v>
      </c>
      <c r="G53" s="178" t="s">
        <v>217</v>
      </c>
      <c r="H53" s="176">
        <v>0.06</v>
      </c>
      <c r="I53" s="176">
        <v>0.02</v>
      </c>
      <c r="J53" s="176"/>
      <c r="K53" s="176"/>
      <c r="L53" s="176"/>
      <c r="M53" s="176"/>
      <c r="N53" s="176"/>
      <c r="O53" s="193"/>
      <c r="P53" s="158" t="s">
        <v>60</v>
      </c>
      <c r="Q53" s="159">
        <f t="shared" si="2"/>
        <v>0.06</v>
      </c>
      <c r="R53" s="195">
        <f t="shared" si="4"/>
        <v>0.02</v>
      </c>
    </row>
    <row r="54" spans="1:18" x14ac:dyDescent="0.2">
      <c r="A54" s="95">
        <v>1</v>
      </c>
      <c r="B54" s="95">
        <v>53</v>
      </c>
      <c r="C54" s="94" t="s">
        <v>92</v>
      </c>
      <c r="D54" s="85" t="s">
        <v>12</v>
      </c>
      <c r="E54" s="85" t="s">
        <v>84</v>
      </c>
      <c r="F54" s="87">
        <v>7</v>
      </c>
      <c r="G54" s="137" t="s">
        <v>82</v>
      </c>
      <c r="H54" s="89"/>
      <c r="I54" s="89"/>
      <c r="J54" s="85">
        <v>3.47</v>
      </c>
      <c r="K54" s="85">
        <v>2.79</v>
      </c>
      <c r="L54" s="85">
        <v>4.5999999999999996</v>
      </c>
      <c r="M54" s="85"/>
      <c r="N54" s="85"/>
      <c r="O54" s="86"/>
      <c r="P54" s="167" t="s">
        <v>57</v>
      </c>
      <c r="Q54" s="168">
        <f>(J54+K54+L54)/3</f>
        <v>3.6199999999999997</v>
      </c>
      <c r="R54" s="166">
        <f>(L54-K54)/(2*_xlfn.NORM.S.INV((0.75*F54-0.125)/(F54+0.25)))</f>
        <v>1.6625610443173311</v>
      </c>
    </row>
    <row r="55" spans="1:18" x14ac:dyDescent="0.2">
      <c r="A55" s="95">
        <v>1</v>
      </c>
      <c r="B55" s="95">
        <v>54</v>
      </c>
      <c r="C55" s="94" t="s">
        <v>92</v>
      </c>
      <c r="D55" s="85" t="s">
        <v>12</v>
      </c>
      <c r="E55" s="85" t="s">
        <v>81</v>
      </c>
      <c r="F55" s="95">
        <v>7</v>
      </c>
      <c r="G55" s="137" t="s">
        <v>82</v>
      </c>
      <c r="H55" s="89"/>
      <c r="I55" s="89"/>
      <c r="J55" s="85">
        <v>4</v>
      </c>
      <c r="K55" s="85">
        <v>2.29</v>
      </c>
      <c r="L55" s="85">
        <v>5.94</v>
      </c>
      <c r="M55" s="85"/>
      <c r="N55" s="85"/>
      <c r="O55" s="85"/>
      <c r="P55" s="167" t="s">
        <v>57</v>
      </c>
      <c r="Q55" s="168">
        <f>(J55+K55+L55)/3</f>
        <v>4.0766666666666671</v>
      </c>
      <c r="R55" s="166">
        <f>(L55-K55)/(2*_xlfn.NORM.S.INV((0.75*F55-0.125)/(F55+0.25)))</f>
        <v>3.352678349037713</v>
      </c>
    </row>
    <row r="56" spans="1:18" x14ac:dyDescent="0.2">
      <c r="A56" s="95">
        <v>1</v>
      </c>
      <c r="B56" s="95">
        <v>55</v>
      </c>
      <c r="C56" s="94" t="s">
        <v>92</v>
      </c>
      <c r="D56" s="85" t="s">
        <v>12</v>
      </c>
      <c r="E56" s="85" t="s">
        <v>83</v>
      </c>
      <c r="F56" s="95">
        <v>7</v>
      </c>
      <c r="G56" s="137" t="s">
        <v>82</v>
      </c>
      <c r="H56" s="89"/>
      <c r="I56" s="89"/>
      <c r="J56" s="85">
        <v>3.89</v>
      </c>
      <c r="K56" s="85">
        <v>2.42</v>
      </c>
      <c r="L56" s="85">
        <v>4.8600000000000003</v>
      </c>
      <c r="M56" s="85"/>
      <c r="N56" s="85"/>
      <c r="O56" s="85"/>
      <c r="P56" s="167" t="s">
        <v>57</v>
      </c>
      <c r="Q56" s="168">
        <f>(J56+K56+L56)/3</f>
        <v>3.723333333333334</v>
      </c>
      <c r="R56" s="166">
        <f>(L56-K56)/(2*_xlfn.NORM.S.INV((0.75*F56-0.125)/(F56+0.25)))</f>
        <v>2.2412425127813753</v>
      </c>
    </row>
    <row r="57" spans="1:18" x14ac:dyDescent="0.2">
      <c r="A57" s="95">
        <v>2</v>
      </c>
      <c r="B57" s="95">
        <v>56</v>
      </c>
      <c r="C57" s="94" t="s">
        <v>92</v>
      </c>
      <c r="D57" s="85" t="s">
        <v>228</v>
      </c>
      <c r="E57" s="200" t="s">
        <v>84</v>
      </c>
      <c r="F57" s="201">
        <v>14</v>
      </c>
      <c r="G57" s="186" t="s">
        <v>85</v>
      </c>
      <c r="H57" s="179">
        <v>14.84</v>
      </c>
      <c r="I57" s="179">
        <v>6.87</v>
      </c>
      <c r="J57" s="85"/>
      <c r="K57" s="85"/>
      <c r="L57" s="85"/>
      <c r="M57" s="85"/>
      <c r="N57" s="85"/>
      <c r="O57" s="85"/>
      <c r="P57" s="108" t="s">
        <v>86</v>
      </c>
      <c r="Q57" s="90">
        <f t="shared" ref="Q57:R78" si="5">H57</f>
        <v>14.84</v>
      </c>
      <c r="R57" s="90">
        <f t="shared" si="5"/>
        <v>6.87</v>
      </c>
    </row>
    <row r="58" spans="1:18" x14ac:dyDescent="0.2">
      <c r="A58" s="95">
        <v>2</v>
      </c>
      <c r="B58" s="95">
        <v>57</v>
      </c>
      <c r="C58" s="94" t="s">
        <v>92</v>
      </c>
      <c r="D58" s="85" t="s">
        <v>228</v>
      </c>
      <c r="E58" s="200" t="s">
        <v>81</v>
      </c>
      <c r="F58" s="201">
        <v>14</v>
      </c>
      <c r="G58" s="186" t="s">
        <v>85</v>
      </c>
      <c r="H58" s="179">
        <v>11.47</v>
      </c>
      <c r="I58" s="179">
        <v>2.72</v>
      </c>
      <c r="J58" s="85"/>
      <c r="K58" s="85"/>
      <c r="L58" s="85"/>
      <c r="M58" s="85"/>
      <c r="N58" s="85"/>
      <c r="O58" s="85"/>
      <c r="P58" s="108" t="s">
        <v>86</v>
      </c>
      <c r="Q58" s="90">
        <f t="shared" si="5"/>
        <v>11.47</v>
      </c>
      <c r="R58" s="90">
        <f t="shared" si="5"/>
        <v>2.72</v>
      </c>
    </row>
    <row r="59" spans="1:18" x14ac:dyDescent="0.2">
      <c r="A59" s="95">
        <v>2</v>
      </c>
      <c r="B59" s="95">
        <v>58</v>
      </c>
      <c r="C59" s="94" t="s">
        <v>92</v>
      </c>
      <c r="D59" s="85" t="s">
        <v>228</v>
      </c>
      <c r="E59" s="200" t="s">
        <v>87</v>
      </c>
      <c r="F59" s="201">
        <v>14</v>
      </c>
      <c r="G59" s="186" t="s">
        <v>85</v>
      </c>
      <c r="H59" s="179">
        <v>13.58</v>
      </c>
      <c r="I59" s="179">
        <v>3.25</v>
      </c>
      <c r="J59" s="85"/>
      <c r="K59" s="85"/>
      <c r="L59" s="85"/>
      <c r="M59" s="85"/>
      <c r="N59" s="85"/>
      <c r="O59" s="85"/>
      <c r="P59" s="108" t="s">
        <v>86</v>
      </c>
      <c r="Q59" s="90">
        <f t="shared" si="5"/>
        <v>13.58</v>
      </c>
      <c r="R59" s="90">
        <f t="shared" si="5"/>
        <v>3.25</v>
      </c>
    </row>
    <row r="60" spans="1:18" x14ac:dyDescent="0.2">
      <c r="A60" s="95">
        <v>3</v>
      </c>
      <c r="B60" s="95">
        <v>59</v>
      </c>
      <c r="C60" s="94" t="s">
        <v>92</v>
      </c>
      <c r="D60" s="200" t="s">
        <v>229</v>
      </c>
      <c r="E60" s="200" t="s">
        <v>84</v>
      </c>
      <c r="F60" s="201">
        <v>14</v>
      </c>
      <c r="G60" s="186" t="s">
        <v>85</v>
      </c>
      <c r="H60" s="179">
        <v>17.649999999999999</v>
      </c>
      <c r="I60" s="179">
        <v>6.72</v>
      </c>
      <c r="J60" s="85"/>
      <c r="K60" s="85"/>
      <c r="L60" s="85"/>
      <c r="M60" s="85"/>
      <c r="N60" s="85"/>
      <c r="O60" s="85"/>
      <c r="P60" s="108" t="s">
        <v>86</v>
      </c>
      <c r="Q60" s="90">
        <f t="shared" si="5"/>
        <v>17.649999999999999</v>
      </c>
      <c r="R60" s="90">
        <f t="shared" si="5"/>
        <v>6.72</v>
      </c>
    </row>
    <row r="61" spans="1:18" x14ac:dyDescent="0.2">
      <c r="A61" s="95">
        <v>3</v>
      </c>
      <c r="B61" s="95">
        <v>60</v>
      </c>
      <c r="C61" s="94" t="s">
        <v>92</v>
      </c>
      <c r="D61" s="200" t="s">
        <v>229</v>
      </c>
      <c r="E61" s="200" t="s">
        <v>81</v>
      </c>
      <c r="F61" s="201">
        <v>14</v>
      </c>
      <c r="G61" s="186" t="s">
        <v>85</v>
      </c>
      <c r="H61" s="179">
        <v>15.59</v>
      </c>
      <c r="I61" s="179">
        <v>4.1500000000000004</v>
      </c>
      <c r="J61" s="85"/>
      <c r="K61" s="85"/>
      <c r="L61" s="85"/>
      <c r="M61" s="85"/>
      <c r="N61" s="85"/>
      <c r="O61" s="85"/>
      <c r="P61" s="108" t="s">
        <v>86</v>
      </c>
      <c r="Q61" s="90">
        <f t="shared" si="5"/>
        <v>15.59</v>
      </c>
      <c r="R61" s="90">
        <f t="shared" si="5"/>
        <v>4.1500000000000004</v>
      </c>
    </row>
    <row r="62" spans="1:18" x14ac:dyDescent="0.2">
      <c r="A62" s="95">
        <v>3</v>
      </c>
      <c r="B62" s="95">
        <v>61</v>
      </c>
      <c r="C62" s="94" t="s">
        <v>92</v>
      </c>
      <c r="D62" s="200" t="s">
        <v>229</v>
      </c>
      <c r="E62" s="200" t="s">
        <v>87</v>
      </c>
      <c r="F62" s="201">
        <v>14</v>
      </c>
      <c r="G62" s="186" t="s">
        <v>85</v>
      </c>
      <c r="H62" s="179">
        <v>16.100000000000001</v>
      </c>
      <c r="I62" s="179">
        <v>3.85</v>
      </c>
      <c r="J62" s="85"/>
      <c r="K62" s="85"/>
      <c r="L62" s="85"/>
      <c r="M62" s="85"/>
      <c r="N62" s="85"/>
      <c r="O62" s="85"/>
      <c r="P62" s="108" t="s">
        <v>86</v>
      </c>
      <c r="Q62" s="90">
        <f t="shared" si="5"/>
        <v>16.100000000000001</v>
      </c>
      <c r="R62" s="90">
        <f t="shared" si="5"/>
        <v>3.85</v>
      </c>
    </row>
    <row r="63" spans="1:18" x14ac:dyDescent="0.2">
      <c r="A63" s="95">
        <v>5</v>
      </c>
      <c r="B63" s="95">
        <v>62</v>
      </c>
      <c r="C63" s="94" t="s">
        <v>92</v>
      </c>
      <c r="D63" s="85" t="s">
        <v>28</v>
      </c>
      <c r="E63" s="85" t="s">
        <v>84</v>
      </c>
      <c r="F63" s="177">
        <v>31</v>
      </c>
      <c r="G63" s="185" t="s">
        <v>85</v>
      </c>
      <c r="H63" s="179">
        <v>10.0229032258065</v>
      </c>
      <c r="I63" s="179">
        <v>2.0508342912879591</v>
      </c>
      <c r="J63" s="85"/>
      <c r="K63" s="85"/>
      <c r="L63" s="85"/>
      <c r="M63" s="85"/>
      <c r="N63" s="85"/>
      <c r="O63" s="85"/>
      <c r="P63" s="108" t="s">
        <v>86</v>
      </c>
      <c r="Q63" s="90">
        <f t="shared" si="5"/>
        <v>10.0229032258065</v>
      </c>
      <c r="R63" s="90">
        <f>I63</f>
        <v>2.0508342912879591</v>
      </c>
    </row>
    <row r="64" spans="1:18" x14ac:dyDescent="0.2">
      <c r="A64" s="95">
        <v>5</v>
      </c>
      <c r="B64" s="95">
        <v>63</v>
      </c>
      <c r="C64" s="94" t="s">
        <v>92</v>
      </c>
      <c r="D64" s="85" t="s">
        <v>28</v>
      </c>
      <c r="E64" s="85" t="s">
        <v>81</v>
      </c>
      <c r="F64" s="177">
        <v>31</v>
      </c>
      <c r="G64" s="185" t="s">
        <v>85</v>
      </c>
      <c r="H64" s="179">
        <v>10.9874193548387</v>
      </c>
      <c r="I64" s="179">
        <v>2.4751928783321588</v>
      </c>
      <c r="J64" s="85"/>
      <c r="K64" s="85"/>
      <c r="L64" s="85"/>
      <c r="M64" s="85"/>
      <c r="N64" s="85"/>
      <c r="O64" s="85"/>
      <c r="P64" s="108" t="s">
        <v>86</v>
      </c>
      <c r="Q64" s="90">
        <f t="shared" si="5"/>
        <v>10.9874193548387</v>
      </c>
      <c r="R64" s="90">
        <f t="shared" si="5"/>
        <v>2.4751928783321588</v>
      </c>
    </row>
    <row r="65" spans="1:18" x14ac:dyDescent="0.2">
      <c r="A65" s="95">
        <v>5</v>
      </c>
      <c r="B65" s="95">
        <v>64</v>
      </c>
      <c r="C65" s="94" t="s">
        <v>92</v>
      </c>
      <c r="D65" s="85" t="s">
        <v>28</v>
      </c>
      <c r="E65" s="85" t="s">
        <v>87</v>
      </c>
      <c r="F65" s="177">
        <v>31</v>
      </c>
      <c r="G65" s="185" t="s">
        <v>85</v>
      </c>
      <c r="H65" s="179">
        <v>10.453225806451609</v>
      </c>
      <c r="I65" s="179">
        <v>1.310390239831311</v>
      </c>
      <c r="J65" s="85"/>
      <c r="K65" s="85"/>
      <c r="L65" s="85"/>
      <c r="M65" s="85"/>
      <c r="N65" s="85"/>
      <c r="O65" s="85"/>
      <c r="P65" s="108" t="s">
        <v>86</v>
      </c>
      <c r="Q65" s="90">
        <f t="shared" si="5"/>
        <v>10.453225806451609</v>
      </c>
      <c r="R65" s="90">
        <f t="shared" si="5"/>
        <v>1.310390239831311</v>
      </c>
    </row>
    <row r="66" spans="1:18" x14ac:dyDescent="0.2">
      <c r="A66" s="95">
        <v>6</v>
      </c>
      <c r="B66" s="95">
        <v>65</v>
      </c>
      <c r="C66" s="94" t="s">
        <v>92</v>
      </c>
      <c r="D66" s="85" t="s">
        <v>32</v>
      </c>
      <c r="E66" s="85" t="s">
        <v>84</v>
      </c>
      <c r="F66" s="177">
        <v>31</v>
      </c>
      <c r="G66" s="185" t="s">
        <v>85</v>
      </c>
      <c r="H66" s="179">
        <v>10.14</v>
      </c>
      <c r="I66" s="179">
        <v>1.154899707045306</v>
      </c>
      <c r="J66" s="85"/>
      <c r="K66" s="85"/>
      <c r="L66" s="85"/>
      <c r="M66" s="85"/>
      <c r="N66" s="85"/>
      <c r="O66" s="85"/>
      <c r="P66" s="108" t="s">
        <v>86</v>
      </c>
      <c r="Q66" s="90">
        <f>H66</f>
        <v>10.14</v>
      </c>
      <c r="R66" s="90">
        <f>I66</f>
        <v>1.154899707045306</v>
      </c>
    </row>
    <row r="67" spans="1:18" x14ac:dyDescent="0.2">
      <c r="A67" s="95">
        <v>6</v>
      </c>
      <c r="B67" s="95">
        <v>66</v>
      </c>
      <c r="C67" s="94" t="s">
        <v>92</v>
      </c>
      <c r="D67" s="85" t="s">
        <v>32</v>
      </c>
      <c r="E67" s="85" t="s">
        <v>81</v>
      </c>
      <c r="F67" s="177">
        <v>31</v>
      </c>
      <c r="G67" s="185" t="s">
        <v>85</v>
      </c>
      <c r="H67" s="179">
        <v>10.483870967741939</v>
      </c>
      <c r="I67" s="179">
        <v>0.66227223717217099</v>
      </c>
      <c r="J67" s="85"/>
      <c r="K67" s="85"/>
      <c r="L67" s="85"/>
      <c r="M67" s="85"/>
      <c r="N67" s="85"/>
      <c r="O67" s="85"/>
      <c r="P67" s="108" t="s">
        <v>86</v>
      </c>
      <c r="Q67" s="90">
        <f t="shared" si="5"/>
        <v>10.483870967741939</v>
      </c>
      <c r="R67" s="90">
        <f t="shared" si="5"/>
        <v>0.66227223717217099</v>
      </c>
    </row>
    <row r="68" spans="1:18" x14ac:dyDescent="0.2">
      <c r="A68" s="95">
        <v>6</v>
      </c>
      <c r="B68" s="95">
        <v>67</v>
      </c>
      <c r="C68" s="94" t="s">
        <v>92</v>
      </c>
      <c r="D68" s="85" t="s">
        <v>32</v>
      </c>
      <c r="E68" s="85" t="s">
        <v>87</v>
      </c>
      <c r="F68" s="177">
        <v>31</v>
      </c>
      <c r="G68" s="185" t="s">
        <v>85</v>
      </c>
      <c r="H68" s="179">
        <v>11.082903225806451</v>
      </c>
      <c r="I68" s="179">
        <v>1.407999037756269</v>
      </c>
      <c r="J68" s="85"/>
      <c r="K68" s="85"/>
      <c r="L68" s="85"/>
      <c r="M68" s="85"/>
      <c r="N68" s="85"/>
      <c r="O68" s="85"/>
      <c r="P68" s="108" t="s">
        <v>86</v>
      </c>
      <c r="Q68" s="90">
        <f t="shared" si="5"/>
        <v>11.082903225806451</v>
      </c>
      <c r="R68" s="90">
        <f t="shared" si="5"/>
        <v>1.407999037756269</v>
      </c>
    </row>
    <row r="69" spans="1:18" x14ac:dyDescent="0.2">
      <c r="A69" s="95">
        <v>7</v>
      </c>
      <c r="B69" s="95">
        <v>68</v>
      </c>
      <c r="C69" s="94" t="s">
        <v>92</v>
      </c>
      <c r="D69" s="85" t="s">
        <v>35</v>
      </c>
      <c r="E69" s="85" t="s">
        <v>84</v>
      </c>
      <c r="F69" s="88">
        <v>16</v>
      </c>
      <c r="G69" s="138" t="s">
        <v>85</v>
      </c>
      <c r="H69" s="101">
        <v>10.11375</v>
      </c>
      <c r="I69" s="101">
        <v>1.039255342380623</v>
      </c>
      <c r="J69" s="85"/>
      <c r="K69" s="85"/>
      <c r="L69" s="85"/>
      <c r="M69" s="85"/>
      <c r="N69" s="85"/>
      <c r="O69" s="85"/>
      <c r="P69" s="108" t="s">
        <v>86</v>
      </c>
      <c r="Q69" s="90">
        <f t="shared" si="5"/>
        <v>10.11375</v>
      </c>
      <c r="R69" s="90">
        <f t="shared" si="5"/>
        <v>1.039255342380623</v>
      </c>
    </row>
    <row r="70" spans="1:18" x14ac:dyDescent="0.2">
      <c r="A70" s="95">
        <v>7</v>
      </c>
      <c r="B70" s="95">
        <v>69</v>
      </c>
      <c r="C70" s="94" t="s">
        <v>92</v>
      </c>
      <c r="D70" s="85" t="s">
        <v>35</v>
      </c>
      <c r="E70" s="85" t="s">
        <v>81</v>
      </c>
      <c r="F70" s="88">
        <v>16</v>
      </c>
      <c r="G70" s="138" t="s">
        <v>85</v>
      </c>
      <c r="H70" s="101">
        <v>12.351875</v>
      </c>
      <c r="I70" s="101">
        <v>1.9259187201610211</v>
      </c>
      <c r="J70" s="85"/>
      <c r="K70" s="85"/>
      <c r="L70" s="85"/>
      <c r="M70" s="85"/>
      <c r="N70" s="85"/>
      <c r="O70" s="85"/>
      <c r="P70" s="108" t="s">
        <v>86</v>
      </c>
      <c r="Q70" s="90">
        <f t="shared" si="5"/>
        <v>12.351875</v>
      </c>
      <c r="R70" s="90">
        <f t="shared" si="5"/>
        <v>1.9259187201610211</v>
      </c>
    </row>
    <row r="71" spans="1:18" x14ac:dyDescent="0.2">
      <c r="A71" s="95">
        <v>7</v>
      </c>
      <c r="B71" s="95">
        <v>70</v>
      </c>
      <c r="C71" s="94" t="s">
        <v>92</v>
      </c>
      <c r="D71" s="85" t="s">
        <v>35</v>
      </c>
      <c r="E71" s="85" t="s">
        <v>87</v>
      </c>
      <c r="F71" s="88">
        <v>16</v>
      </c>
      <c r="G71" s="138" t="s">
        <v>85</v>
      </c>
      <c r="H71" s="101">
        <v>13.734375</v>
      </c>
      <c r="I71" s="101">
        <v>3.335765716693345</v>
      </c>
      <c r="J71" s="85"/>
      <c r="K71" s="85"/>
      <c r="L71" s="85"/>
      <c r="M71" s="85"/>
      <c r="N71" s="85"/>
      <c r="O71" s="85"/>
      <c r="P71" s="108" t="s">
        <v>86</v>
      </c>
      <c r="Q71" s="90">
        <f t="shared" si="5"/>
        <v>13.734375</v>
      </c>
      <c r="R71" s="90">
        <f t="shared" si="5"/>
        <v>3.335765716693345</v>
      </c>
    </row>
    <row r="72" spans="1:18" x14ac:dyDescent="0.2">
      <c r="A72" s="95">
        <v>8</v>
      </c>
      <c r="B72" s="95">
        <v>71</v>
      </c>
      <c r="C72" s="94" t="s">
        <v>92</v>
      </c>
      <c r="D72" s="85" t="s">
        <v>38</v>
      </c>
      <c r="E72" s="85" t="s">
        <v>84</v>
      </c>
      <c r="F72" s="88">
        <v>16</v>
      </c>
      <c r="G72" s="138" t="s">
        <v>85</v>
      </c>
      <c r="H72" s="101">
        <v>10.828749999999999</v>
      </c>
      <c r="I72" s="101">
        <v>2.9309449556983038</v>
      </c>
      <c r="J72" s="85"/>
      <c r="K72" s="85"/>
      <c r="L72" s="85"/>
      <c r="M72" s="85"/>
      <c r="N72" s="85"/>
      <c r="O72" s="85"/>
      <c r="P72" s="108" t="s">
        <v>86</v>
      </c>
      <c r="Q72" s="90">
        <f t="shared" si="5"/>
        <v>10.828749999999999</v>
      </c>
      <c r="R72" s="90">
        <f t="shared" si="5"/>
        <v>2.9309449556983038</v>
      </c>
    </row>
    <row r="73" spans="1:18" x14ac:dyDescent="0.2">
      <c r="A73" s="95">
        <v>8</v>
      </c>
      <c r="B73" s="95">
        <v>72</v>
      </c>
      <c r="C73" s="94" t="s">
        <v>92</v>
      </c>
      <c r="D73" s="85" t="s">
        <v>38</v>
      </c>
      <c r="E73" s="85" t="s">
        <v>81</v>
      </c>
      <c r="F73" s="88">
        <v>16</v>
      </c>
      <c r="G73" s="138" t="s">
        <v>85</v>
      </c>
      <c r="H73" s="101">
        <v>13.671875</v>
      </c>
      <c r="I73" s="101">
        <v>2.8009908217152968</v>
      </c>
      <c r="J73" s="85"/>
      <c r="K73" s="85"/>
      <c r="L73" s="85"/>
      <c r="M73" s="85"/>
      <c r="N73" s="85"/>
      <c r="O73" s="85"/>
      <c r="P73" s="108" t="s">
        <v>86</v>
      </c>
      <c r="Q73" s="90">
        <f t="shared" si="5"/>
        <v>13.671875</v>
      </c>
      <c r="R73" s="90">
        <f t="shared" si="5"/>
        <v>2.8009908217152968</v>
      </c>
    </row>
    <row r="74" spans="1:18" x14ac:dyDescent="0.2">
      <c r="A74" s="95">
        <v>8</v>
      </c>
      <c r="B74" s="95">
        <v>73</v>
      </c>
      <c r="C74" s="94" t="s">
        <v>92</v>
      </c>
      <c r="D74" s="85" t="s">
        <v>38</v>
      </c>
      <c r="E74" s="85" t="s">
        <v>87</v>
      </c>
      <c r="F74" s="88">
        <v>16</v>
      </c>
      <c r="G74" s="138" t="s">
        <v>85</v>
      </c>
      <c r="H74" s="101">
        <v>14.220625</v>
      </c>
      <c r="I74" s="101">
        <v>2.7425984485520298</v>
      </c>
      <c r="J74" s="85"/>
      <c r="K74" s="85"/>
      <c r="L74" s="85"/>
      <c r="M74" s="85"/>
      <c r="N74" s="85"/>
      <c r="O74" s="85"/>
      <c r="P74" s="108" t="s">
        <v>86</v>
      </c>
      <c r="Q74" s="90">
        <f t="shared" si="5"/>
        <v>14.220625</v>
      </c>
      <c r="R74" s="90">
        <f t="shared" si="5"/>
        <v>2.7425984485520298</v>
      </c>
    </row>
    <row r="75" spans="1:18" x14ac:dyDescent="0.2">
      <c r="A75" s="95">
        <v>9</v>
      </c>
      <c r="B75" s="95">
        <v>74</v>
      </c>
      <c r="C75" s="94" t="s">
        <v>92</v>
      </c>
      <c r="D75" s="85" t="s">
        <v>40</v>
      </c>
      <c r="E75" s="85" t="s">
        <v>84</v>
      </c>
      <c r="F75" s="92">
        <v>16</v>
      </c>
      <c r="G75" s="138" t="s">
        <v>85</v>
      </c>
      <c r="H75" s="101">
        <v>11.708125000000001</v>
      </c>
      <c r="I75" s="101">
        <v>2.941483115142201</v>
      </c>
      <c r="J75" s="85"/>
      <c r="K75" s="85"/>
      <c r="L75" s="85"/>
      <c r="M75" s="85"/>
      <c r="N75" s="85"/>
      <c r="O75" s="85"/>
      <c r="P75" s="108" t="s">
        <v>86</v>
      </c>
      <c r="Q75" s="90">
        <f t="shared" si="5"/>
        <v>11.708125000000001</v>
      </c>
      <c r="R75" s="90">
        <f t="shared" si="5"/>
        <v>2.941483115142201</v>
      </c>
    </row>
    <row r="76" spans="1:18" x14ac:dyDescent="0.2">
      <c r="A76" s="95">
        <v>9</v>
      </c>
      <c r="B76" s="95">
        <v>75</v>
      </c>
      <c r="C76" s="94" t="s">
        <v>92</v>
      </c>
      <c r="D76" s="85" t="s">
        <v>40</v>
      </c>
      <c r="E76" s="85" t="s">
        <v>81</v>
      </c>
      <c r="F76" s="92">
        <v>16</v>
      </c>
      <c r="G76" s="138" t="s">
        <v>85</v>
      </c>
      <c r="H76" s="101">
        <v>11.601875</v>
      </c>
      <c r="I76" s="101">
        <v>2.5780023758716748</v>
      </c>
      <c r="J76" s="85"/>
      <c r="K76" s="85"/>
      <c r="L76" s="85"/>
      <c r="M76" s="85"/>
      <c r="N76" s="85"/>
      <c r="O76" s="85"/>
      <c r="P76" s="108" t="s">
        <v>86</v>
      </c>
      <c r="Q76" s="90">
        <f t="shared" si="5"/>
        <v>11.601875</v>
      </c>
      <c r="R76" s="90">
        <f t="shared" si="5"/>
        <v>2.5780023758716748</v>
      </c>
    </row>
    <row r="77" spans="1:18" x14ac:dyDescent="0.2">
      <c r="A77" s="95">
        <v>9</v>
      </c>
      <c r="B77" s="95">
        <v>76</v>
      </c>
      <c r="C77" s="94" t="s">
        <v>92</v>
      </c>
      <c r="D77" s="85" t="s">
        <v>40</v>
      </c>
      <c r="E77" s="85" t="s">
        <v>87</v>
      </c>
      <c r="F77" s="92">
        <v>16</v>
      </c>
      <c r="G77" s="138" t="s">
        <v>85</v>
      </c>
      <c r="H77" s="101">
        <v>13.671250000000001</v>
      </c>
      <c r="I77" s="101">
        <v>2.6455191676997289</v>
      </c>
      <c r="J77" s="85"/>
      <c r="K77" s="85"/>
      <c r="L77" s="85"/>
      <c r="M77" s="85"/>
      <c r="N77" s="85"/>
      <c r="O77" s="85"/>
      <c r="P77" s="108" t="s">
        <v>86</v>
      </c>
      <c r="Q77" s="90">
        <f t="shared" si="5"/>
        <v>13.671250000000001</v>
      </c>
      <c r="R77" s="90">
        <f t="shared" si="5"/>
        <v>2.6455191676997289</v>
      </c>
    </row>
    <row r="78" spans="1:18" x14ac:dyDescent="0.2">
      <c r="A78" s="95">
        <v>10</v>
      </c>
      <c r="B78" s="95">
        <v>77</v>
      </c>
      <c r="C78" s="94" t="s">
        <v>92</v>
      </c>
      <c r="D78" s="176" t="s">
        <v>193</v>
      </c>
      <c r="E78" s="176" t="s">
        <v>84</v>
      </c>
      <c r="F78" s="177">
        <v>16</v>
      </c>
      <c r="G78" s="178" t="s">
        <v>85</v>
      </c>
      <c r="H78" s="179">
        <v>14.374375000000001</v>
      </c>
      <c r="I78" s="179">
        <v>5.7076112560334744</v>
      </c>
      <c r="J78" s="85"/>
      <c r="K78" s="85"/>
      <c r="L78" s="85"/>
      <c r="M78" s="85"/>
      <c r="N78" s="85"/>
      <c r="O78" s="85"/>
      <c r="P78" s="108" t="s">
        <v>221</v>
      </c>
      <c r="Q78" s="90">
        <f t="shared" si="5"/>
        <v>14.374375000000001</v>
      </c>
      <c r="R78" s="90">
        <f t="shared" si="5"/>
        <v>5.7076112560334744</v>
      </c>
    </row>
    <row r="79" spans="1:18" x14ac:dyDescent="0.2">
      <c r="A79" s="95">
        <v>10</v>
      </c>
      <c r="B79" s="95">
        <v>78</v>
      </c>
      <c r="C79" s="94" t="s">
        <v>92</v>
      </c>
      <c r="D79" s="176" t="s">
        <v>193</v>
      </c>
      <c r="E79" s="176" t="s">
        <v>81</v>
      </c>
      <c r="F79" s="177">
        <v>16</v>
      </c>
      <c r="G79" s="178" t="s">
        <v>85</v>
      </c>
      <c r="H79" s="179">
        <v>15.211874999999999</v>
      </c>
      <c r="I79" s="179">
        <v>3.8675698119103159</v>
      </c>
      <c r="J79" s="85"/>
      <c r="K79" s="85"/>
      <c r="L79" s="85"/>
      <c r="M79" s="85"/>
      <c r="N79" s="85"/>
      <c r="O79" s="85"/>
      <c r="P79" s="108" t="s">
        <v>222</v>
      </c>
      <c r="Q79" s="90">
        <f t="shared" ref="Q79:R83" si="6">H79</f>
        <v>15.211874999999999</v>
      </c>
      <c r="R79" s="90">
        <f t="shared" si="6"/>
        <v>3.8675698119103159</v>
      </c>
    </row>
    <row r="80" spans="1:18" x14ac:dyDescent="0.2">
      <c r="A80" s="95">
        <v>10</v>
      </c>
      <c r="B80" s="95">
        <v>79</v>
      </c>
      <c r="C80" s="94" t="s">
        <v>92</v>
      </c>
      <c r="D80" s="176" t="s">
        <v>193</v>
      </c>
      <c r="E80" s="176" t="s">
        <v>87</v>
      </c>
      <c r="F80" s="177">
        <v>16</v>
      </c>
      <c r="G80" s="178" t="s">
        <v>85</v>
      </c>
      <c r="H80" s="179">
        <v>15.183125</v>
      </c>
      <c r="I80" s="179">
        <v>4.1944530334717074</v>
      </c>
      <c r="J80" s="85"/>
      <c r="K80" s="85"/>
      <c r="L80" s="85"/>
      <c r="M80" s="85"/>
      <c r="N80" s="85"/>
      <c r="O80" s="85"/>
      <c r="P80" s="108" t="s">
        <v>223</v>
      </c>
      <c r="Q80" s="90">
        <f t="shared" si="6"/>
        <v>15.183125</v>
      </c>
      <c r="R80" s="90">
        <f t="shared" si="6"/>
        <v>4.1944530334717074</v>
      </c>
    </row>
    <row r="81" spans="1:18" x14ac:dyDescent="0.2">
      <c r="A81" s="95">
        <v>11</v>
      </c>
      <c r="B81" s="95">
        <v>80</v>
      </c>
      <c r="C81" s="94" t="s">
        <v>92</v>
      </c>
      <c r="D81" s="176" t="s">
        <v>196</v>
      </c>
      <c r="E81" s="176" t="s">
        <v>84</v>
      </c>
      <c r="F81" s="177">
        <v>16</v>
      </c>
      <c r="G81" s="178" t="s">
        <v>85</v>
      </c>
      <c r="H81" s="179">
        <v>12.433125</v>
      </c>
      <c r="I81" s="179">
        <v>3.88750600213899</v>
      </c>
      <c r="J81" s="85"/>
      <c r="K81" s="85"/>
      <c r="L81" s="85"/>
      <c r="M81" s="85"/>
      <c r="N81" s="85"/>
      <c r="O81" s="85"/>
      <c r="P81" s="108" t="s">
        <v>224</v>
      </c>
      <c r="Q81" s="90">
        <f t="shared" si="6"/>
        <v>12.433125</v>
      </c>
      <c r="R81" s="90">
        <f t="shared" si="6"/>
        <v>3.88750600213899</v>
      </c>
    </row>
    <row r="82" spans="1:18" x14ac:dyDescent="0.2">
      <c r="A82" s="95">
        <v>11</v>
      </c>
      <c r="B82" s="95">
        <v>81</v>
      </c>
      <c r="C82" s="94" t="s">
        <v>92</v>
      </c>
      <c r="D82" s="176" t="s">
        <v>196</v>
      </c>
      <c r="E82" s="176" t="s">
        <v>81</v>
      </c>
      <c r="F82" s="177">
        <v>16</v>
      </c>
      <c r="G82" s="178" t="s">
        <v>85</v>
      </c>
      <c r="H82" s="179">
        <v>13.4725</v>
      </c>
      <c r="I82" s="179">
        <v>2.895312303246981</v>
      </c>
      <c r="J82" s="85"/>
      <c r="K82" s="85"/>
      <c r="L82" s="85"/>
      <c r="M82" s="85"/>
      <c r="N82" s="85"/>
      <c r="O82" s="85"/>
      <c r="P82" s="108" t="s">
        <v>225</v>
      </c>
      <c r="Q82" s="90">
        <f t="shared" si="6"/>
        <v>13.4725</v>
      </c>
      <c r="R82" s="90">
        <f t="shared" si="6"/>
        <v>2.895312303246981</v>
      </c>
    </row>
    <row r="83" spans="1:18" x14ac:dyDescent="0.2">
      <c r="A83" s="95">
        <v>11</v>
      </c>
      <c r="B83" s="95">
        <v>82</v>
      </c>
      <c r="C83" s="94" t="s">
        <v>92</v>
      </c>
      <c r="D83" s="176" t="s">
        <v>196</v>
      </c>
      <c r="E83" s="176" t="s">
        <v>87</v>
      </c>
      <c r="F83" s="177">
        <v>16</v>
      </c>
      <c r="G83" s="178" t="s">
        <v>85</v>
      </c>
      <c r="H83" s="179">
        <v>13.480625</v>
      </c>
      <c r="I83" s="179">
        <v>2.992767879962182</v>
      </c>
      <c r="J83" s="85"/>
      <c r="K83" s="85"/>
      <c r="L83" s="85"/>
      <c r="M83" s="85"/>
      <c r="N83" s="85"/>
      <c r="O83" s="85"/>
      <c r="P83" s="108" t="s">
        <v>226</v>
      </c>
      <c r="Q83" s="90">
        <f t="shared" si="6"/>
        <v>13.480625</v>
      </c>
      <c r="R83" s="90">
        <f t="shared" si="6"/>
        <v>2.992767879962182</v>
      </c>
    </row>
    <row r="84" spans="1:18" x14ac:dyDescent="0.2">
      <c r="A84" s="95">
        <v>4</v>
      </c>
      <c r="B84" s="95">
        <v>83</v>
      </c>
      <c r="C84" s="94" t="s">
        <v>92</v>
      </c>
      <c r="D84" s="85" t="s">
        <v>26</v>
      </c>
      <c r="E84" s="85" t="s">
        <v>84</v>
      </c>
      <c r="F84" s="88">
        <v>3</v>
      </c>
      <c r="G84" s="139" t="s">
        <v>89</v>
      </c>
      <c r="H84" s="85"/>
      <c r="I84" s="85"/>
      <c r="J84" s="85">
        <v>2.58</v>
      </c>
      <c r="K84" s="85"/>
      <c r="L84" s="85"/>
      <c r="M84" s="85">
        <v>2.29</v>
      </c>
      <c r="N84" s="85">
        <v>2.82</v>
      </c>
      <c r="O84" s="85"/>
      <c r="P84" s="162" t="s">
        <v>90</v>
      </c>
      <c r="Q84" s="163">
        <f>(M84+2*J84+N84)/4</f>
        <v>2.5674999999999999</v>
      </c>
      <c r="R84" s="163">
        <f>(N84-M84)/(2*_xlfn.NORM.S.INV((F84-0.375)/(F84+0.25)))</f>
        <v>0.30479957891828618</v>
      </c>
    </row>
    <row r="85" spans="1:18" x14ac:dyDescent="0.2">
      <c r="A85" s="95">
        <v>4</v>
      </c>
      <c r="B85" s="95">
        <v>84</v>
      </c>
      <c r="C85" s="94" t="s">
        <v>92</v>
      </c>
      <c r="D85" s="85" t="s">
        <v>26</v>
      </c>
      <c r="E85" s="85" t="s">
        <v>81</v>
      </c>
      <c r="F85" s="88">
        <v>3</v>
      </c>
      <c r="G85" s="140" t="s">
        <v>89</v>
      </c>
      <c r="H85" s="85"/>
      <c r="I85" s="85"/>
      <c r="J85" s="85">
        <v>0.82</v>
      </c>
      <c r="K85" s="85"/>
      <c r="L85" s="85"/>
      <c r="M85" s="85">
        <v>0.76</v>
      </c>
      <c r="N85" s="85">
        <v>0.93</v>
      </c>
      <c r="O85" s="85"/>
      <c r="P85" s="162" t="s">
        <v>90</v>
      </c>
      <c r="Q85" s="163">
        <f>(M85+2*J85+N85)/4</f>
        <v>0.83250000000000002</v>
      </c>
      <c r="R85" s="163">
        <f>(N85-M85)/(2*_xlfn.NORM.S.INV((F85-0.375)/(F85+0.25)))</f>
        <v>9.776590267190316E-2</v>
      </c>
    </row>
    <row r="86" spans="1:18" x14ac:dyDescent="0.2">
      <c r="A86" s="95">
        <v>4</v>
      </c>
      <c r="B86" s="95">
        <v>85</v>
      </c>
      <c r="C86" s="94" t="s">
        <v>92</v>
      </c>
      <c r="D86" s="85" t="s">
        <v>26</v>
      </c>
      <c r="E86" s="85" t="s">
        <v>87</v>
      </c>
      <c r="F86" s="88">
        <v>3</v>
      </c>
      <c r="G86" s="140" t="s">
        <v>89</v>
      </c>
      <c r="H86" s="85"/>
      <c r="I86" s="85"/>
      <c r="J86" s="85">
        <v>0.59</v>
      </c>
      <c r="K86" s="85"/>
      <c r="L86" s="85"/>
      <c r="M86" s="85">
        <v>0.53</v>
      </c>
      <c r="N86" s="85">
        <v>0.65</v>
      </c>
      <c r="O86" s="85"/>
      <c r="P86" s="162" t="s">
        <v>90</v>
      </c>
      <c r="Q86" s="163">
        <f>(M86+2*J86+N86)/4</f>
        <v>0.59</v>
      </c>
      <c r="R86" s="163">
        <f>(N86-M86)/(2*_xlfn.NORM.S.INV((F86-0.375)/(F86+0.25)))</f>
        <v>6.9011225415461036E-2</v>
      </c>
    </row>
    <row r="87" spans="1:18" x14ac:dyDescent="0.2">
      <c r="A87" s="95">
        <v>12</v>
      </c>
      <c r="B87" s="95">
        <v>86</v>
      </c>
      <c r="C87" s="94" t="s">
        <v>92</v>
      </c>
      <c r="D87" s="85" t="s">
        <v>42</v>
      </c>
      <c r="E87" s="85" t="s">
        <v>84</v>
      </c>
      <c r="F87" s="88">
        <v>9</v>
      </c>
      <c r="G87" s="140" t="s">
        <v>89</v>
      </c>
      <c r="H87" s="85"/>
      <c r="I87" s="85"/>
      <c r="J87" s="85">
        <v>1.33</v>
      </c>
      <c r="K87" s="85">
        <v>1.21</v>
      </c>
      <c r="L87" s="85">
        <v>1.68</v>
      </c>
      <c r="M87" s="85"/>
      <c r="N87" s="85"/>
      <c r="O87" s="85"/>
      <c r="P87" s="167" t="s">
        <v>57</v>
      </c>
      <c r="Q87" s="168">
        <f>(J87+K87+L87)/3</f>
        <v>1.4066666666666665</v>
      </c>
      <c r="R87" s="166">
        <f>(L87-K87)/(2*_xlfn.NORM.S.INV((0.75*F87-0.125)/(F87+0.25)))</f>
        <v>0.41109967357747079</v>
      </c>
    </row>
    <row r="88" spans="1:18" x14ac:dyDescent="0.2">
      <c r="A88" s="95">
        <v>12</v>
      </c>
      <c r="B88" s="95">
        <v>87</v>
      </c>
      <c r="C88" s="94" t="s">
        <v>92</v>
      </c>
      <c r="D88" s="85" t="s">
        <v>42</v>
      </c>
      <c r="E88" s="85" t="s">
        <v>81</v>
      </c>
      <c r="F88" s="88">
        <v>9</v>
      </c>
      <c r="G88" s="140" t="s">
        <v>89</v>
      </c>
      <c r="H88" s="85"/>
      <c r="I88" s="85"/>
      <c r="J88" s="85">
        <v>1.54</v>
      </c>
      <c r="K88" s="85">
        <v>1.18</v>
      </c>
      <c r="L88" s="85">
        <v>1.71</v>
      </c>
      <c r="M88" s="85"/>
      <c r="N88" s="85"/>
      <c r="O88" s="85"/>
      <c r="P88" s="167" t="s">
        <v>57</v>
      </c>
      <c r="Q88" s="168">
        <f>(J88+K88+L88)/3</f>
        <v>1.4766666666666666</v>
      </c>
      <c r="R88" s="166">
        <f>(L88-K88)/(2*_xlfn.NORM.S.INV((0.75*F88-0.125)/(F88+0.25)))</f>
        <v>0.46358048297033949</v>
      </c>
    </row>
    <row r="89" spans="1:18" x14ac:dyDescent="0.2">
      <c r="A89" s="95">
        <v>12</v>
      </c>
      <c r="B89" s="95">
        <v>88</v>
      </c>
      <c r="C89" s="94" t="s">
        <v>92</v>
      </c>
      <c r="D89" s="85" t="s">
        <v>42</v>
      </c>
      <c r="E89" s="85" t="s">
        <v>83</v>
      </c>
      <c r="F89" s="88">
        <v>9</v>
      </c>
      <c r="G89" s="140" t="s">
        <v>89</v>
      </c>
      <c r="H89" s="85"/>
      <c r="I89" s="85"/>
      <c r="J89" s="85">
        <v>1.28</v>
      </c>
      <c r="K89" s="85">
        <v>0.95</v>
      </c>
      <c r="L89" s="85">
        <v>2.06</v>
      </c>
      <c r="M89" s="85"/>
      <c r="N89" s="85"/>
      <c r="O89" s="85"/>
      <c r="P89" s="167" t="s">
        <v>57</v>
      </c>
      <c r="Q89" s="168">
        <f>(J89+K89+L89)/3</f>
        <v>1.43</v>
      </c>
      <c r="R89" s="168">
        <f>(L89-K89)/(2*_xlfn.NORM.S.INV((0.75*F89-0.125)/(F89+0.25)))</f>
        <v>0.97089497376806955</v>
      </c>
    </row>
    <row r="90" spans="1:18" x14ac:dyDescent="0.2">
      <c r="A90" s="95">
        <v>12</v>
      </c>
      <c r="B90" s="95">
        <v>89</v>
      </c>
      <c r="C90" s="94" t="s">
        <v>92</v>
      </c>
      <c r="D90" s="85" t="s">
        <v>42</v>
      </c>
      <c r="E90" s="85" t="s">
        <v>87</v>
      </c>
      <c r="F90" s="88">
        <v>9</v>
      </c>
      <c r="G90" s="140" t="s">
        <v>89</v>
      </c>
      <c r="H90" s="85"/>
      <c r="I90" s="85"/>
      <c r="J90" s="85">
        <v>1.46</v>
      </c>
      <c r="K90" s="85">
        <v>1.21</v>
      </c>
      <c r="L90" s="85">
        <v>2.69</v>
      </c>
      <c r="M90" s="85"/>
      <c r="N90" s="85"/>
      <c r="O90" s="85"/>
      <c r="P90" s="167" t="s">
        <v>57</v>
      </c>
      <c r="Q90" s="168">
        <f>(J90+K90+L90)/3</f>
        <v>1.7866666666666664</v>
      </c>
      <c r="R90" s="168">
        <f>(L90-K90)/(2*_xlfn.NORM.S.INV((0.75*F90-0.125)/(F90+0.25)))</f>
        <v>1.2945266316907591</v>
      </c>
    </row>
    <row r="91" spans="1:18" x14ac:dyDescent="0.2">
      <c r="A91" s="95">
        <v>13</v>
      </c>
      <c r="B91" s="95">
        <v>90</v>
      </c>
      <c r="C91" s="94" t="s">
        <v>92</v>
      </c>
      <c r="D91" s="85" t="s">
        <v>47</v>
      </c>
      <c r="E91" s="85" t="s">
        <v>84</v>
      </c>
      <c r="F91" s="88">
        <v>18</v>
      </c>
      <c r="G91" s="138" t="s">
        <v>91</v>
      </c>
      <c r="H91" s="85">
        <v>651</v>
      </c>
      <c r="I91" s="85">
        <v>143</v>
      </c>
      <c r="J91" s="85"/>
      <c r="K91" s="85"/>
      <c r="L91" s="85"/>
      <c r="M91" s="85"/>
      <c r="N91" s="85"/>
      <c r="O91" s="85"/>
      <c r="P91" s="158" t="s">
        <v>60</v>
      </c>
      <c r="Q91" s="159">
        <f>H91</f>
        <v>651</v>
      </c>
      <c r="R91" s="218">
        <f>I91</f>
        <v>143</v>
      </c>
    </row>
    <row r="92" spans="1:18" x14ac:dyDescent="0.2">
      <c r="A92" s="95">
        <v>13</v>
      </c>
      <c r="B92" s="95">
        <v>91</v>
      </c>
      <c r="C92" s="94" t="s">
        <v>92</v>
      </c>
      <c r="D92" s="85" t="s">
        <v>47</v>
      </c>
      <c r="E92" s="96" t="s">
        <v>81</v>
      </c>
      <c r="F92" s="97">
        <v>18</v>
      </c>
      <c r="G92" s="141" t="s">
        <v>91</v>
      </c>
      <c r="H92" s="96">
        <v>808</v>
      </c>
      <c r="I92" s="96">
        <v>194</v>
      </c>
      <c r="J92" s="96"/>
      <c r="K92" s="96"/>
      <c r="L92" s="96"/>
      <c r="M92" s="96"/>
      <c r="N92" s="96"/>
      <c r="O92" s="96"/>
      <c r="P92" s="160" t="s">
        <v>60</v>
      </c>
      <c r="Q92" s="161">
        <f>H92</f>
        <v>808</v>
      </c>
      <c r="R92" s="218">
        <f>I92</f>
        <v>194</v>
      </c>
    </row>
    <row r="93" spans="1:18" x14ac:dyDescent="0.2">
      <c r="A93" s="95">
        <v>14</v>
      </c>
      <c r="B93" s="95">
        <v>92</v>
      </c>
      <c r="C93" s="94" t="s">
        <v>92</v>
      </c>
      <c r="D93" s="176" t="s">
        <v>197</v>
      </c>
      <c r="E93" s="176" t="s">
        <v>84</v>
      </c>
      <c r="F93" s="177">
        <v>7</v>
      </c>
      <c r="G93" s="178" t="s">
        <v>215</v>
      </c>
      <c r="H93" s="194">
        <v>0.05</v>
      </c>
      <c r="I93" s="194"/>
      <c r="J93" s="96"/>
      <c r="K93" s="96"/>
      <c r="L93" s="96"/>
      <c r="M93" s="96"/>
      <c r="N93" s="96"/>
      <c r="O93" s="194">
        <v>0.02</v>
      </c>
      <c r="P93" s="196" t="s">
        <v>232</v>
      </c>
      <c r="Q93" s="199">
        <f>H93</f>
        <v>0.05</v>
      </c>
      <c r="R93" s="219">
        <f>O93*SQRT(F93)</f>
        <v>5.2915026221291815E-2</v>
      </c>
    </row>
    <row r="94" spans="1:18" x14ac:dyDescent="0.2">
      <c r="A94" s="95">
        <v>14</v>
      </c>
      <c r="B94" s="95">
        <v>93</v>
      </c>
      <c r="C94" s="94" t="s">
        <v>92</v>
      </c>
      <c r="D94" s="176" t="s">
        <v>197</v>
      </c>
      <c r="E94" s="176" t="s">
        <v>81</v>
      </c>
      <c r="F94" s="180">
        <v>7</v>
      </c>
      <c r="G94" s="178" t="s">
        <v>215</v>
      </c>
      <c r="H94" s="194">
        <v>0.06</v>
      </c>
      <c r="I94" s="194"/>
      <c r="J94" s="96"/>
      <c r="K94" s="96"/>
      <c r="L94" s="96"/>
      <c r="M94" s="96"/>
      <c r="N94" s="96"/>
      <c r="O94" s="194">
        <v>0.03</v>
      </c>
      <c r="P94" s="196" t="s">
        <v>232</v>
      </c>
      <c r="Q94" s="199">
        <f t="shared" ref="Q94:Q101" si="7">H94</f>
        <v>0.06</v>
      </c>
      <c r="R94" s="219">
        <f t="shared" ref="R94:R101" si="8">O94*SQRT(F94)</f>
        <v>7.9372539331937719E-2</v>
      </c>
    </row>
    <row r="95" spans="1:18" x14ac:dyDescent="0.2">
      <c r="A95" s="95">
        <v>14</v>
      </c>
      <c r="B95" s="95">
        <v>94</v>
      </c>
      <c r="C95" s="94" t="s">
        <v>92</v>
      </c>
      <c r="D95" s="176" t="s">
        <v>197</v>
      </c>
      <c r="E95" s="176" t="s">
        <v>83</v>
      </c>
      <c r="F95" s="180">
        <v>7</v>
      </c>
      <c r="G95" s="178" t="s">
        <v>215</v>
      </c>
      <c r="H95" s="194">
        <v>0.05</v>
      </c>
      <c r="I95" s="194"/>
      <c r="J95" s="96"/>
      <c r="K95" s="96"/>
      <c r="L95" s="96"/>
      <c r="M95" s="96"/>
      <c r="N95" s="96"/>
      <c r="O95" s="194">
        <v>0.02</v>
      </c>
      <c r="P95" s="196" t="s">
        <v>232</v>
      </c>
      <c r="Q95" s="199">
        <f t="shared" si="7"/>
        <v>0.05</v>
      </c>
      <c r="R95" s="219">
        <f t="shared" si="8"/>
        <v>5.2915026221291815E-2</v>
      </c>
    </row>
    <row r="96" spans="1:18" x14ac:dyDescent="0.2">
      <c r="A96" s="95">
        <v>15</v>
      </c>
      <c r="B96" s="95">
        <v>95</v>
      </c>
      <c r="C96" s="94" t="s">
        <v>92</v>
      </c>
      <c r="D96" s="176" t="s">
        <v>198</v>
      </c>
      <c r="E96" s="176" t="s">
        <v>84</v>
      </c>
      <c r="F96" s="180">
        <v>7</v>
      </c>
      <c r="G96" s="178" t="s">
        <v>215</v>
      </c>
      <c r="H96" s="194">
        <v>0.05</v>
      </c>
      <c r="I96" s="194"/>
      <c r="J96" s="96"/>
      <c r="K96" s="96"/>
      <c r="L96" s="96"/>
      <c r="M96" s="96"/>
      <c r="N96" s="96"/>
      <c r="O96" s="194">
        <v>0.02</v>
      </c>
      <c r="P96" s="196" t="s">
        <v>232</v>
      </c>
      <c r="Q96" s="199">
        <f t="shared" si="7"/>
        <v>0.05</v>
      </c>
      <c r="R96" s="219">
        <f t="shared" si="8"/>
        <v>5.2915026221291815E-2</v>
      </c>
    </row>
    <row r="97" spans="1:18" x14ac:dyDescent="0.2">
      <c r="A97" s="95">
        <v>15</v>
      </c>
      <c r="B97" s="95">
        <v>96</v>
      </c>
      <c r="C97" s="94" t="s">
        <v>92</v>
      </c>
      <c r="D97" s="176" t="s">
        <v>198</v>
      </c>
      <c r="E97" s="176" t="s">
        <v>81</v>
      </c>
      <c r="F97" s="180">
        <v>7</v>
      </c>
      <c r="G97" s="178" t="s">
        <v>215</v>
      </c>
      <c r="H97" s="194">
        <v>0.05</v>
      </c>
      <c r="I97" s="194"/>
      <c r="J97" s="96"/>
      <c r="K97" s="96"/>
      <c r="L97" s="96"/>
      <c r="M97" s="96"/>
      <c r="N97" s="96"/>
      <c r="O97" s="194">
        <v>0.02</v>
      </c>
      <c r="P97" s="196" t="s">
        <v>232</v>
      </c>
      <c r="Q97" s="199">
        <f t="shared" si="7"/>
        <v>0.05</v>
      </c>
      <c r="R97" s="219">
        <f t="shared" si="8"/>
        <v>5.2915026221291815E-2</v>
      </c>
    </row>
    <row r="98" spans="1:18" x14ac:dyDescent="0.2">
      <c r="A98" s="95">
        <v>15</v>
      </c>
      <c r="B98" s="95">
        <v>97</v>
      </c>
      <c r="C98" s="94" t="s">
        <v>92</v>
      </c>
      <c r="D98" s="176" t="s">
        <v>198</v>
      </c>
      <c r="E98" s="176" t="s">
        <v>83</v>
      </c>
      <c r="F98" s="180">
        <v>7</v>
      </c>
      <c r="G98" s="178" t="s">
        <v>215</v>
      </c>
      <c r="H98" s="194">
        <v>0.05</v>
      </c>
      <c r="I98" s="194"/>
      <c r="J98" s="96"/>
      <c r="K98" s="96"/>
      <c r="L98" s="96"/>
      <c r="M98" s="96"/>
      <c r="N98" s="96"/>
      <c r="O98" s="194">
        <v>0.01</v>
      </c>
      <c r="P98" s="196" t="s">
        <v>232</v>
      </c>
      <c r="Q98" s="199">
        <f t="shared" si="7"/>
        <v>0.05</v>
      </c>
      <c r="R98" s="219">
        <f t="shared" si="8"/>
        <v>2.6457513110645908E-2</v>
      </c>
    </row>
    <row r="99" spans="1:18" x14ac:dyDescent="0.2">
      <c r="A99" s="95">
        <v>16</v>
      </c>
      <c r="B99" s="95">
        <v>98</v>
      </c>
      <c r="C99" s="94" t="s">
        <v>92</v>
      </c>
      <c r="D99" s="176" t="s">
        <v>199</v>
      </c>
      <c r="E99" s="176" t="s">
        <v>84</v>
      </c>
      <c r="F99" s="180">
        <v>7</v>
      </c>
      <c r="G99" s="178" t="s">
        <v>215</v>
      </c>
      <c r="H99" s="194">
        <v>0.03</v>
      </c>
      <c r="I99" s="194"/>
      <c r="J99" s="96"/>
      <c r="K99" s="96"/>
      <c r="L99" s="96"/>
      <c r="M99" s="96"/>
      <c r="N99" s="96"/>
      <c r="O99" s="194">
        <v>0.01</v>
      </c>
      <c r="P99" s="196" t="s">
        <v>232</v>
      </c>
      <c r="Q99" s="199">
        <f t="shared" si="7"/>
        <v>0.03</v>
      </c>
      <c r="R99" s="219">
        <f t="shared" si="8"/>
        <v>2.6457513110645908E-2</v>
      </c>
    </row>
    <row r="100" spans="1:18" x14ac:dyDescent="0.2">
      <c r="A100" s="95">
        <v>16</v>
      </c>
      <c r="B100" s="95">
        <v>99</v>
      </c>
      <c r="C100" s="94" t="s">
        <v>92</v>
      </c>
      <c r="D100" s="176" t="s">
        <v>199</v>
      </c>
      <c r="E100" s="176" t="s">
        <v>81</v>
      </c>
      <c r="F100" s="180">
        <v>7</v>
      </c>
      <c r="G100" s="178" t="s">
        <v>215</v>
      </c>
      <c r="H100" s="194">
        <v>0.04</v>
      </c>
      <c r="I100" s="194"/>
      <c r="J100" s="96"/>
      <c r="K100" s="96"/>
      <c r="L100" s="96"/>
      <c r="M100" s="96"/>
      <c r="N100" s="96"/>
      <c r="O100" s="194">
        <v>0.01</v>
      </c>
      <c r="P100" s="196" t="s">
        <v>232</v>
      </c>
      <c r="Q100" s="199">
        <f t="shared" si="7"/>
        <v>0.04</v>
      </c>
      <c r="R100" s="219">
        <f t="shared" si="8"/>
        <v>2.6457513110645908E-2</v>
      </c>
    </row>
    <row r="101" spans="1:18" x14ac:dyDescent="0.2">
      <c r="A101" s="95">
        <v>16</v>
      </c>
      <c r="B101" s="95">
        <v>100</v>
      </c>
      <c r="C101" s="94" t="s">
        <v>92</v>
      </c>
      <c r="D101" s="176" t="s">
        <v>199</v>
      </c>
      <c r="E101" s="176" t="s">
        <v>83</v>
      </c>
      <c r="F101" s="180">
        <v>7</v>
      </c>
      <c r="G101" s="178" t="s">
        <v>215</v>
      </c>
      <c r="H101" s="194">
        <v>0.04</v>
      </c>
      <c r="I101" s="194"/>
      <c r="J101" s="96"/>
      <c r="K101" s="96"/>
      <c r="L101" s="96"/>
      <c r="M101" s="96"/>
      <c r="N101" s="96"/>
      <c r="O101" s="194">
        <v>0.01</v>
      </c>
      <c r="P101" s="196" t="s">
        <v>232</v>
      </c>
      <c r="Q101" s="199">
        <f t="shared" si="7"/>
        <v>0.04</v>
      </c>
      <c r="R101" s="219">
        <f t="shared" si="8"/>
        <v>2.6457513110645908E-2</v>
      </c>
    </row>
    <row r="102" spans="1:18" x14ac:dyDescent="0.2">
      <c r="A102" s="95">
        <v>17</v>
      </c>
      <c r="B102" s="95">
        <v>101</v>
      </c>
      <c r="C102" s="94" t="s">
        <v>92</v>
      </c>
      <c r="D102" s="176" t="s">
        <v>200</v>
      </c>
      <c r="E102" s="176" t="s">
        <v>84</v>
      </c>
      <c r="F102" s="180">
        <v>16</v>
      </c>
      <c r="G102" s="178" t="s">
        <v>215</v>
      </c>
      <c r="H102" s="194">
        <v>0.08</v>
      </c>
      <c r="I102" s="194">
        <v>0.01</v>
      </c>
      <c r="J102" s="96"/>
      <c r="K102" s="96"/>
      <c r="L102" s="96"/>
      <c r="M102" s="96"/>
      <c r="N102" s="96"/>
      <c r="O102" s="96"/>
      <c r="P102" s="160" t="s">
        <v>60</v>
      </c>
      <c r="Q102" s="161">
        <f>H102</f>
        <v>0.08</v>
      </c>
      <c r="R102" s="161">
        <f>I102</f>
        <v>0.01</v>
      </c>
    </row>
    <row r="103" spans="1:18" x14ac:dyDescent="0.2">
      <c r="A103" s="95">
        <v>17</v>
      </c>
      <c r="B103" s="95">
        <v>102</v>
      </c>
      <c r="C103" s="94" t="s">
        <v>92</v>
      </c>
      <c r="D103" s="176" t="s">
        <v>200</v>
      </c>
      <c r="E103" s="176" t="s">
        <v>81</v>
      </c>
      <c r="F103" s="177">
        <v>16</v>
      </c>
      <c r="G103" s="178" t="s">
        <v>215</v>
      </c>
      <c r="H103" s="194">
        <v>0.1</v>
      </c>
      <c r="I103" s="194">
        <v>0.02</v>
      </c>
      <c r="J103" s="96"/>
      <c r="K103" s="96"/>
      <c r="L103" s="96"/>
      <c r="M103" s="96"/>
      <c r="N103" s="96"/>
      <c r="O103" s="96"/>
      <c r="P103" s="160" t="s">
        <v>60</v>
      </c>
      <c r="Q103" s="161">
        <f t="shared" ref="Q103:Q105" si="9">H103</f>
        <v>0.1</v>
      </c>
      <c r="R103" s="161">
        <f t="shared" ref="R103:R105" si="10">I103</f>
        <v>0.02</v>
      </c>
    </row>
    <row r="104" spans="1:18" x14ac:dyDescent="0.2">
      <c r="A104" s="95">
        <v>18</v>
      </c>
      <c r="B104" s="95">
        <v>103</v>
      </c>
      <c r="C104" s="94" t="s">
        <v>92</v>
      </c>
      <c r="D104" s="176" t="s">
        <v>201</v>
      </c>
      <c r="E104" s="176" t="s">
        <v>84</v>
      </c>
      <c r="F104" s="180">
        <v>10</v>
      </c>
      <c r="G104" s="181" t="s">
        <v>216</v>
      </c>
      <c r="H104" s="194">
        <v>0.05</v>
      </c>
      <c r="I104" s="194">
        <v>0.01</v>
      </c>
      <c r="J104" s="96"/>
      <c r="K104" s="96"/>
      <c r="L104" s="96"/>
      <c r="M104" s="96"/>
      <c r="N104" s="96"/>
      <c r="O104" s="96"/>
      <c r="P104" s="160" t="s">
        <v>60</v>
      </c>
      <c r="Q104" s="161">
        <f t="shared" si="9"/>
        <v>0.05</v>
      </c>
      <c r="R104" s="161">
        <f t="shared" si="10"/>
        <v>0.01</v>
      </c>
    </row>
    <row r="105" spans="1:18" x14ac:dyDescent="0.2">
      <c r="A105" s="95">
        <v>18</v>
      </c>
      <c r="B105" s="95">
        <v>104</v>
      </c>
      <c r="C105" s="94" t="s">
        <v>92</v>
      </c>
      <c r="D105" s="176" t="s">
        <v>201</v>
      </c>
      <c r="E105" s="176" t="s">
        <v>81</v>
      </c>
      <c r="F105" s="180">
        <v>10</v>
      </c>
      <c r="G105" s="181" t="s">
        <v>216</v>
      </c>
      <c r="H105" s="194">
        <v>7.0000000000000007E-2</v>
      </c>
      <c r="I105" s="194">
        <v>0.01</v>
      </c>
      <c r="J105" s="96"/>
      <c r="K105" s="96"/>
      <c r="L105" s="96"/>
      <c r="M105" s="96"/>
      <c r="N105" s="96"/>
      <c r="O105" s="96"/>
      <c r="P105" s="160" t="s">
        <v>60</v>
      </c>
      <c r="Q105" s="161">
        <f t="shared" si="9"/>
        <v>7.0000000000000007E-2</v>
      </c>
      <c r="R105" s="161">
        <f t="shared" si="10"/>
        <v>0.01</v>
      </c>
    </row>
    <row r="106" spans="1:18" x14ac:dyDescent="0.2">
      <c r="A106" s="95">
        <v>1</v>
      </c>
      <c r="B106" s="95">
        <v>105</v>
      </c>
      <c r="C106" s="98" t="s">
        <v>93</v>
      </c>
      <c r="D106" s="85" t="s">
        <v>12</v>
      </c>
      <c r="E106" s="85" t="s">
        <v>84</v>
      </c>
      <c r="F106" s="103">
        <v>7</v>
      </c>
      <c r="G106" s="137" t="s">
        <v>94</v>
      </c>
      <c r="H106" s="85"/>
      <c r="I106" s="85"/>
      <c r="J106" s="85">
        <v>2.93</v>
      </c>
      <c r="K106" s="85">
        <v>1.71</v>
      </c>
      <c r="L106" s="85">
        <v>3.9</v>
      </c>
      <c r="M106" s="85"/>
      <c r="N106" s="85"/>
      <c r="O106" s="85"/>
      <c r="P106" s="167" t="s">
        <v>57</v>
      </c>
      <c r="Q106" s="168">
        <f t="shared" ref="Q106:Q108" si="11">(J106+K106+L106)/3</f>
        <v>2.8466666666666671</v>
      </c>
      <c r="R106" s="168">
        <f>(L106-K106)/(2*_xlfn.NORM.S.INV((0.75*F106-0.125)/(F106+0.25)))</f>
        <v>2.0116070094226277</v>
      </c>
    </row>
    <row r="107" spans="1:18" x14ac:dyDescent="0.2">
      <c r="A107" s="95">
        <v>1</v>
      </c>
      <c r="B107" s="95">
        <v>106</v>
      </c>
      <c r="C107" s="98" t="s">
        <v>93</v>
      </c>
      <c r="D107" s="85" t="s">
        <v>12</v>
      </c>
      <c r="E107" s="85" t="s">
        <v>81</v>
      </c>
      <c r="F107" s="103">
        <v>7</v>
      </c>
      <c r="G107" s="137" t="s">
        <v>94</v>
      </c>
      <c r="H107" s="85"/>
      <c r="I107" s="85"/>
      <c r="J107" s="85">
        <v>5.34</v>
      </c>
      <c r="K107" s="85">
        <v>1.49</v>
      </c>
      <c r="L107" s="85">
        <v>6.57</v>
      </c>
      <c r="M107" s="85"/>
      <c r="N107" s="85"/>
      <c r="O107" s="85"/>
      <c r="P107" s="167" t="s">
        <v>57</v>
      </c>
      <c r="Q107" s="168">
        <f t="shared" si="11"/>
        <v>4.4666666666666668</v>
      </c>
      <c r="R107" s="168">
        <f t="shared" ref="R107:R108" si="12">(L107-K107)/(2*_xlfn.NORM.S.INV((0.75*F107-0.125)/(F107+0.25)))</f>
        <v>4.6661934282497484</v>
      </c>
    </row>
    <row r="108" spans="1:18" x14ac:dyDescent="0.2">
      <c r="A108" s="95">
        <v>1</v>
      </c>
      <c r="B108" s="95">
        <v>107</v>
      </c>
      <c r="C108" s="98" t="s">
        <v>93</v>
      </c>
      <c r="D108" s="85" t="s">
        <v>12</v>
      </c>
      <c r="E108" s="85" t="s">
        <v>83</v>
      </c>
      <c r="F108" s="103">
        <v>7</v>
      </c>
      <c r="G108" s="137" t="s">
        <v>94</v>
      </c>
      <c r="H108" s="85"/>
      <c r="I108" s="85"/>
      <c r="J108" s="85">
        <v>1.75</v>
      </c>
      <c r="K108" s="85">
        <v>0.92</v>
      </c>
      <c r="L108" s="85">
        <v>1.75</v>
      </c>
      <c r="M108" s="85"/>
      <c r="N108" s="85"/>
      <c r="O108" s="85"/>
      <c r="P108" s="167" t="s">
        <v>57</v>
      </c>
      <c r="Q108" s="168">
        <f t="shared" si="11"/>
        <v>1.4733333333333334</v>
      </c>
      <c r="R108" s="168">
        <f t="shared" si="12"/>
        <v>0.76238987115104151</v>
      </c>
    </row>
    <row r="109" spans="1:18" x14ac:dyDescent="0.2">
      <c r="A109" s="95">
        <v>2</v>
      </c>
      <c r="B109" s="95">
        <v>108</v>
      </c>
      <c r="C109" s="98" t="s">
        <v>93</v>
      </c>
      <c r="D109" s="85" t="s">
        <v>228</v>
      </c>
      <c r="E109" s="85" t="s">
        <v>84</v>
      </c>
      <c r="F109" s="105">
        <v>14</v>
      </c>
      <c r="G109" s="140" t="s">
        <v>85</v>
      </c>
      <c r="H109" s="72">
        <v>2.11</v>
      </c>
      <c r="I109" s="72">
        <v>1.39</v>
      </c>
      <c r="J109" s="89"/>
      <c r="K109" s="89"/>
      <c r="L109" s="89"/>
      <c r="M109" s="89"/>
      <c r="N109" s="89"/>
      <c r="O109" s="89"/>
      <c r="P109" s="108" t="s">
        <v>86</v>
      </c>
      <c r="Q109" s="90">
        <f>H109</f>
        <v>2.11</v>
      </c>
      <c r="R109" s="90">
        <f>I109</f>
        <v>1.39</v>
      </c>
    </row>
    <row r="110" spans="1:18" x14ac:dyDescent="0.2">
      <c r="A110" s="95">
        <v>2</v>
      </c>
      <c r="B110" s="95">
        <v>109</v>
      </c>
      <c r="C110" s="98" t="s">
        <v>93</v>
      </c>
      <c r="D110" s="85" t="s">
        <v>228</v>
      </c>
      <c r="E110" s="85" t="s">
        <v>81</v>
      </c>
      <c r="F110" s="105">
        <v>14</v>
      </c>
      <c r="G110" s="140" t="s">
        <v>85</v>
      </c>
      <c r="H110" s="72">
        <v>2.93</v>
      </c>
      <c r="I110" s="72">
        <v>0.84</v>
      </c>
      <c r="J110" s="89"/>
      <c r="K110" s="89"/>
      <c r="L110" s="89"/>
      <c r="M110" s="89"/>
      <c r="N110" s="89"/>
      <c r="O110" s="89"/>
      <c r="P110" s="108" t="s">
        <v>86</v>
      </c>
      <c r="Q110" s="90">
        <f t="shared" ref="Q110:Q123" si="13">H110</f>
        <v>2.93</v>
      </c>
      <c r="R110" s="90">
        <f t="shared" ref="R110:R123" si="14">I110</f>
        <v>0.84</v>
      </c>
    </row>
    <row r="111" spans="1:18" x14ac:dyDescent="0.2">
      <c r="A111" s="95">
        <v>2</v>
      </c>
      <c r="B111" s="95">
        <v>110</v>
      </c>
      <c r="C111" s="98" t="s">
        <v>93</v>
      </c>
      <c r="D111" s="85" t="s">
        <v>228</v>
      </c>
      <c r="E111" s="85" t="s">
        <v>87</v>
      </c>
      <c r="F111" s="105">
        <v>14</v>
      </c>
      <c r="G111" s="140" t="s">
        <v>85</v>
      </c>
      <c r="H111" s="72">
        <v>2.7</v>
      </c>
      <c r="I111" s="72">
        <v>0.56000000000000005</v>
      </c>
      <c r="J111" s="89"/>
      <c r="K111" s="89"/>
      <c r="L111" s="89"/>
      <c r="M111" s="89"/>
      <c r="N111" s="89"/>
      <c r="O111" s="89"/>
      <c r="P111" s="108" t="s">
        <v>86</v>
      </c>
      <c r="Q111" s="90">
        <f t="shared" si="13"/>
        <v>2.7</v>
      </c>
      <c r="R111" s="90">
        <f t="shared" si="14"/>
        <v>0.56000000000000005</v>
      </c>
    </row>
    <row r="112" spans="1:18" x14ac:dyDescent="0.2">
      <c r="A112" s="95">
        <v>3</v>
      </c>
      <c r="B112" s="95">
        <v>111</v>
      </c>
      <c r="C112" s="98" t="s">
        <v>93</v>
      </c>
      <c r="D112" s="200" t="s">
        <v>229</v>
      </c>
      <c r="E112" s="200" t="s">
        <v>84</v>
      </c>
      <c r="F112" s="191">
        <v>14</v>
      </c>
      <c r="G112" s="185" t="s">
        <v>85</v>
      </c>
      <c r="H112" s="179">
        <v>1.1000000000000001</v>
      </c>
      <c r="I112" s="179">
        <v>0.46</v>
      </c>
      <c r="J112" s="89"/>
      <c r="K112" s="89"/>
      <c r="L112" s="89"/>
      <c r="M112" s="89"/>
      <c r="N112" s="89"/>
      <c r="O112" s="89"/>
      <c r="P112" s="108" t="s">
        <v>86</v>
      </c>
      <c r="Q112" s="90">
        <f t="shared" si="13"/>
        <v>1.1000000000000001</v>
      </c>
      <c r="R112" s="90">
        <f t="shared" si="14"/>
        <v>0.46</v>
      </c>
    </row>
    <row r="113" spans="1:18" x14ac:dyDescent="0.2">
      <c r="A113" s="95">
        <v>3</v>
      </c>
      <c r="B113" s="95">
        <v>112</v>
      </c>
      <c r="C113" s="98" t="s">
        <v>93</v>
      </c>
      <c r="D113" s="200" t="s">
        <v>229</v>
      </c>
      <c r="E113" s="200" t="s">
        <v>81</v>
      </c>
      <c r="F113" s="191">
        <v>14</v>
      </c>
      <c r="G113" s="185" t="s">
        <v>85</v>
      </c>
      <c r="H113" s="179">
        <v>1.75</v>
      </c>
      <c r="I113" s="179">
        <v>0.7</v>
      </c>
      <c r="J113" s="89"/>
      <c r="K113" s="89"/>
      <c r="L113" s="89"/>
      <c r="M113" s="89"/>
      <c r="N113" s="89"/>
      <c r="O113" s="89"/>
      <c r="P113" s="108" t="s">
        <v>86</v>
      </c>
      <c r="Q113" s="90">
        <f t="shared" si="13"/>
        <v>1.75</v>
      </c>
      <c r="R113" s="90">
        <f t="shared" si="14"/>
        <v>0.7</v>
      </c>
    </row>
    <row r="114" spans="1:18" x14ac:dyDescent="0.2">
      <c r="A114" s="95">
        <v>3</v>
      </c>
      <c r="B114" s="95">
        <v>113</v>
      </c>
      <c r="C114" s="98" t="s">
        <v>93</v>
      </c>
      <c r="D114" s="200" t="s">
        <v>229</v>
      </c>
      <c r="E114" s="200" t="s">
        <v>87</v>
      </c>
      <c r="F114" s="191">
        <v>14</v>
      </c>
      <c r="G114" s="185" t="s">
        <v>85</v>
      </c>
      <c r="H114" s="179">
        <v>1.8</v>
      </c>
      <c r="I114" s="179">
        <v>0.44</v>
      </c>
      <c r="J114" s="89"/>
      <c r="K114" s="89"/>
      <c r="L114" s="89"/>
      <c r="M114" s="89"/>
      <c r="N114" s="89"/>
      <c r="O114" s="89"/>
      <c r="P114" s="108" t="s">
        <v>86</v>
      </c>
      <c r="Q114" s="90">
        <f t="shared" si="13"/>
        <v>1.8</v>
      </c>
      <c r="R114" s="90">
        <f t="shared" si="14"/>
        <v>0.44</v>
      </c>
    </row>
    <row r="115" spans="1:18" x14ac:dyDescent="0.2">
      <c r="A115" s="95">
        <v>5</v>
      </c>
      <c r="B115" s="95">
        <v>114</v>
      </c>
      <c r="C115" s="98" t="s">
        <v>93</v>
      </c>
      <c r="D115" s="85" t="s">
        <v>28</v>
      </c>
      <c r="E115" s="85" t="s">
        <v>84</v>
      </c>
      <c r="F115" s="177">
        <v>31</v>
      </c>
      <c r="G115" s="185" t="s">
        <v>85</v>
      </c>
      <c r="H115" s="179">
        <v>2.2031884779865258</v>
      </c>
      <c r="I115" s="179">
        <v>0.54741631566115423</v>
      </c>
      <c r="J115" s="89"/>
      <c r="K115" s="89"/>
      <c r="L115" s="89"/>
      <c r="M115" s="89"/>
      <c r="N115" s="89"/>
      <c r="O115" s="89"/>
      <c r="P115" s="108" t="s">
        <v>86</v>
      </c>
      <c r="Q115" s="90">
        <f>H115</f>
        <v>2.2031884779865258</v>
      </c>
      <c r="R115" s="90">
        <f t="shared" si="14"/>
        <v>0.54741631566115423</v>
      </c>
    </row>
    <row r="116" spans="1:18" x14ac:dyDescent="0.2">
      <c r="A116" s="95">
        <v>5</v>
      </c>
      <c r="B116" s="95">
        <v>115</v>
      </c>
      <c r="C116" s="98" t="s">
        <v>93</v>
      </c>
      <c r="D116" s="85" t="s">
        <v>28</v>
      </c>
      <c r="E116" s="85" t="s">
        <v>81</v>
      </c>
      <c r="F116" s="177">
        <v>31</v>
      </c>
      <c r="G116" s="185" t="s">
        <v>85</v>
      </c>
      <c r="H116" s="179">
        <v>2.9980017623094399</v>
      </c>
      <c r="I116" s="179">
        <v>0.70504177806748547</v>
      </c>
      <c r="J116" s="89"/>
      <c r="K116" s="89"/>
      <c r="L116" s="89"/>
      <c r="M116" s="89"/>
      <c r="N116" s="89"/>
      <c r="O116" s="89"/>
      <c r="P116" s="108" t="s">
        <v>86</v>
      </c>
      <c r="Q116" s="90">
        <f>H116</f>
        <v>2.9980017623094399</v>
      </c>
      <c r="R116" s="90">
        <f t="shared" si="14"/>
        <v>0.70504177806748547</v>
      </c>
    </row>
    <row r="117" spans="1:18" x14ac:dyDescent="0.2">
      <c r="A117" s="95">
        <v>5</v>
      </c>
      <c r="B117" s="95">
        <v>116</v>
      </c>
      <c r="C117" s="98" t="s">
        <v>93</v>
      </c>
      <c r="D117" s="85" t="s">
        <v>28</v>
      </c>
      <c r="E117" s="85" t="s">
        <v>87</v>
      </c>
      <c r="F117" s="177">
        <v>31</v>
      </c>
      <c r="G117" s="185" t="s">
        <v>85</v>
      </c>
      <c r="H117" s="179">
        <v>2.6788886594325789</v>
      </c>
      <c r="I117" s="179">
        <v>0.62571686556919404</v>
      </c>
      <c r="J117" s="89"/>
      <c r="K117" s="89"/>
      <c r="L117" s="89"/>
      <c r="M117" s="89"/>
      <c r="N117" s="89"/>
      <c r="O117" s="89"/>
      <c r="P117" s="108" t="s">
        <v>86</v>
      </c>
      <c r="Q117" s="90">
        <f t="shared" si="13"/>
        <v>2.6788886594325789</v>
      </c>
      <c r="R117" s="90">
        <f t="shared" si="14"/>
        <v>0.62571686556919404</v>
      </c>
    </row>
    <row r="118" spans="1:18" x14ac:dyDescent="0.2">
      <c r="A118" s="95">
        <v>6</v>
      </c>
      <c r="B118" s="95">
        <v>117</v>
      </c>
      <c r="C118" s="98" t="s">
        <v>93</v>
      </c>
      <c r="D118" s="85" t="s">
        <v>32</v>
      </c>
      <c r="E118" s="85" t="s">
        <v>84</v>
      </c>
      <c r="F118" s="177">
        <v>31</v>
      </c>
      <c r="G118" s="185" t="s">
        <v>85</v>
      </c>
      <c r="H118" s="187">
        <v>2.157865337754219</v>
      </c>
      <c r="I118" s="187">
        <v>0.27479536449044722</v>
      </c>
      <c r="J118" s="89"/>
      <c r="K118" s="89"/>
      <c r="L118" s="89"/>
      <c r="M118" s="89"/>
      <c r="N118" s="89"/>
      <c r="O118" s="89"/>
      <c r="P118" s="108" t="s">
        <v>86</v>
      </c>
      <c r="Q118" s="90">
        <f t="shared" si="13"/>
        <v>2.157865337754219</v>
      </c>
      <c r="R118" s="90">
        <f t="shared" si="14"/>
        <v>0.27479536449044722</v>
      </c>
    </row>
    <row r="119" spans="1:18" x14ac:dyDescent="0.2">
      <c r="A119" s="95">
        <v>6</v>
      </c>
      <c r="B119" s="95">
        <v>118</v>
      </c>
      <c r="C119" s="98" t="s">
        <v>93</v>
      </c>
      <c r="D119" s="85" t="s">
        <v>32</v>
      </c>
      <c r="E119" s="85" t="s">
        <v>81</v>
      </c>
      <c r="F119" s="177">
        <v>31</v>
      </c>
      <c r="G119" s="185" t="s">
        <v>85</v>
      </c>
      <c r="H119" s="187">
        <v>2.2732554865237451</v>
      </c>
      <c r="I119" s="187">
        <v>0.32161859472334342</v>
      </c>
      <c r="J119" s="89"/>
      <c r="K119" s="89"/>
      <c r="L119" s="89"/>
      <c r="M119" s="89"/>
      <c r="N119" s="89"/>
      <c r="O119" s="89"/>
      <c r="P119" s="108" t="s">
        <v>86</v>
      </c>
      <c r="Q119" s="90">
        <f t="shared" si="13"/>
        <v>2.2732554865237451</v>
      </c>
      <c r="R119" s="90">
        <f t="shared" si="14"/>
        <v>0.32161859472334342</v>
      </c>
    </row>
    <row r="120" spans="1:18" x14ac:dyDescent="0.2">
      <c r="A120" s="95">
        <v>6</v>
      </c>
      <c r="B120" s="95">
        <v>119</v>
      </c>
      <c r="C120" s="98" t="s">
        <v>93</v>
      </c>
      <c r="D120" s="85" t="s">
        <v>32</v>
      </c>
      <c r="E120" s="85" t="s">
        <v>87</v>
      </c>
      <c r="F120" s="177">
        <v>31</v>
      </c>
      <c r="G120" s="185" t="s">
        <v>85</v>
      </c>
      <c r="H120" s="187">
        <v>2.3129261468665421</v>
      </c>
      <c r="I120" s="187">
        <v>0.37062263721816802</v>
      </c>
      <c r="J120" s="89"/>
      <c r="K120" s="89"/>
      <c r="L120" s="89"/>
      <c r="M120" s="89"/>
      <c r="N120" s="89"/>
      <c r="O120" s="89"/>
      <c r="P120" s="108" t="s">
        <v>86</v>
      </c>
      <c r="Q120" s="90">
        <f t="shared" si="13"/>
        <v>2.3129261468665421</v>
      </c>
      <c r="R120" s="90">
        <f t="shared" si="14"/>
        <v>0.37062263721816802</v>
      </c>
    </row>
    <row r="121" spans="1:18" x14ac:dyDescent="0.2">
      <c r="A121" s="95">
        <v>7</v>
      </c>
      <c r="B121" s="95">
        <v>120</v>
      </c>
      <c r="C121" s="98" t="s">
        <v>93</v>
      </c>
      <c r="D121" s="85" t="s">
        <v>35</v>
      </c>
      <c r="E121" s="85" t="s">
        <v>84</v>
      </c>
      <c r="F121" s="83">
        <v>16</v>
      </c>
      <c r="G121" s="138" t="s">
        <v>85</v>
      </c>
      <c r="H121" s="101">
        <v>1.8878839987036899</v>
      </c>
      <c r="I121" s="101">
        <v>0.38776154356994841</v>
      </c>
      <c r="J121" s="89"/>
      <c r="K121" s="89"/>
      <c r="L121" s="89"/>
      <c r="M121" s="89"/>
      <c r="N121" s="89"/>
      <c r="O121" s="89"/>
      <c r="P121" s="108" t="s">
        <v>86</v>
      </c>
      <c r="Q121" s="90">
        <f t="shared" si="13"/>
        <v>1.8878839987036899</v>
      </c>
      <c r="R121" s="90">
        <f t="shared" si="14"/>
        <v>0.38776154356994841</v>
      </c>
    </row>
    <row r="122" spans="1:18" x14ac:dyDescent="0.2">
      <c r="A122" s="95">
        <v>7</v>
      </c>
      <c r="B122" s="95">
        <v>121</v>
      </c>
      <c r="C122" s="98" t="s">
        <v>93</v>
      </c>
      <c r="D122" s="85" t="s">
        <v>35</v>
      </c>
      <c r="E122" s="85" t="s">
        <v>81</v>
      </c>
      <c r="F122" s="83">
        <v>16</v>
      </c>
      <c r="G122" s="138" t="s">
        <v>85</v>
      </c>
      <c r="H122" s="101">
        <v>2.0944113831577931</v>
      </c>
      <c r="I122" s="101">
        <v>0.58945597327689625</v>
      </c>
      <c r="J122" s="89"/>
      <c r="K122" s="89"/>
      <c r="L122" s="89"/>
      <c r="M122" s="89"/>
      <c r="N122" s="89"/>
      <c r="O122" s="89"/>
      <c r="P122" s="108" t="s">
        <v>86</v>
      </c>
      <c r="Q122" s="90">
        <f t="shared" si="13"/>
        <v>2.0944113831577931</v>
      </c>
      <c r="R122" s="90">
        <f t="shared" si="14"/>
        <v>0.58945597327689625</v>
      </c>
    </row>
    <row r="123" spans="1:18" x14ac:dyDescent="0.2">
      <c r="A123" s="95">
        <v>7</v>
      </c>
      <c r="B123" s="95">
        <v>122</v>
      </c>
      <c r="C123" s="98" t="s">
        <v>93</v>
      </c>
      <c r="D123" s="85" t="s">
        <v>35</v>
      </c>
      <c r="E123" s="85" t="s">
        <v>87</v>
      </c>
      <c r="F123" s="83">
        <v>16</v>
      </c>
      <c r="G123" s="138" t="s">
        <v>85</v>
      </c>
      <c r="H123" s="101">
        <v>2.086278470097803</v>
      </c>
      <c r="I123" s="101">
        <v>0.45559777967251402</v>
      </c>
      <c r="J123" s="89"/>
      <c r="K123" s="89"/>
      <c r="L123" s="89"/>
      <c r="M123" s="89"/>
      <c r="N123" s="89"/>
      <c r="O123" s="89"/>
      <c r="P123" s="108" t="s">
        <v>86</v>
      </c>
      <c r="Q123" s="90">
        <f t="shared" si="13"/>
        <v>2.086278470097803</v>
      </c>
      <c r="R123" s="90">
        <f t="shared" si="14"/>
        <v>0.45559777967251402</v>
      </c>
    </row>
    <row r="124" spans="1:18" x14ac:dyDescent="0.2">
      <c r="A124" s="95">
        <v>8</v>
      </c>
      <c r="B124" s="95">
        <v>123</v>
      </c>
      <c r="C124" s="98" t="s">
        <v>93</v>
      </c>
      <c r="D124" s="85" t="s">
        <v>38</v>
      </c>
      <c r="E124" s="85" t="s">
        <v>84</v>
      </c>
      <c r="F124" s="83">
        <v>16</v>
      </c>
      <c r="G124" s="138" t="s">
        <v>85</v>
      </c>
      <c r="H124" s="101">
        <v>1.8059720790794991</v>
      </c>
      <c r="I124" s="101">
        <v>0.94424743591432814</v>
      </c>
      <c r="J124" s="89"/>
      <c r="K124" s="89"/>
      <c r="L124" s="89"/>
      <c r="M124" s="89"/>
      <c r="N124" s="89"/>
      <c r="O124" s="89"/>
      <c r="P124" s="108" t="s">
        <v>86</v>
      </c>
      <c r="Q124" s="90">
        <f t="shared" ref="Q124:Q144" si="15">H124</f>
        <v>1.8059720790794991</v>
      </c>
      <c r="R124" s="90">
        <f t="shared" ref="R124:R144" si="16">I124</f>
        <v>0.94424743591432814</v>
      </c>
    </row>
    <row r="125" spans="1:18" x14ac:dyDescent="0.2">
      <c r="A125" s="95">
        <v>8</v>
      </c>
      <c r="B125" s="95">
        <v>124</v>
      </c>
      <c r="C125" s="98" t="s">
        <v>93</v>
      </c>
      <c r="D125" s="85" t="s">
        <v>38</v>
      </c>
      <c r="E125" s="85" t="s">
        <v>81</v>
      </c>
      <c r="F125" s="83">
        <v>16</v>
      </c>
      <c r="G125" s="138" t="s">
        <v>85</v>
      </c>
      <c r="H125" s="101">
        <v>1.8324213586455009</v>
      </c>
      <c r="I125" s="101">
        <v>0.80064916684618737</v>
      </c>
      <c r="J125" s="89"/>
      <c r="K125" s="89"/>
      <c r="L125" s="89"/>
      <c r="M125" s="89"/>
      <c r="N125" s="89"/>
      <c r="O125" s="89"/>
      <c r="P125" s="108" t="s">
        <v>86</v>
      </c>
      <c r="Q125" s="90">
        <f t="shared" si="15"/>
        <v>1.8324213586455009</v>
      </c>
      <c r="R125" s="90">
        <f t="shared" si="16"/>
        <v>0.80064916684618737</v>
      </c>
    </row>
    <row r="126" spans="1:18" x14ac:dyDescent="0.2">
      <c r="A126" s="95">
        <v>8</v>
      </c>
      <c r="B126" s="95">
        <v>125</v>
      </c>
      <c r="C126" s="98" t="s">
        <v>93</v>
      </c>
      <c r="D126" s="85" t="s">
        <v>38</v>
      </c>
      <c r="E126" s="85" t="s">
        <v>87</v>
      </c>
      <c r="F126" s="83">
        <v>16</v>
      </c>
      <c r="G126" s="138" t="s">
        <v>85</v>
      </c>
      <c r="H126" s="101">
        <v>1.7624030226068039</v>
      </c>
      <c r="I126" s="101">
        <v>0.48129712811724179</v>
      </c>
      <c r="J126" s="89"/>
      <c r="K126" s="89"/>
      <c r="L126" s="89"/>
      <c r="M126" s="89"/>
      <c r="N126" s="89"/>
      <c r="O126" s="89"/>
      <c r="P126" s="108" t="s">
        <v>86</v>
      </c>
      <c r="Q126" s="90">
        <f t="shared" si="15"/>
        <v>1.7624030226068039</v>
      </c>
      <c r="R126" s="90">
        <f t="shared" si="16"/>
        <v>0.48129712811724179</v>
      </c>
    </row>
    <row r="127" spans="1:18" x14ac:dyDescent="0.2">
      <c r="A127" s="95">
        <v>9</v>
      </c>
      <c r="B127" s="95">
        <v>126</v>
      </c>
      <c r="C127" s="98" t="s">
        <v>93</v>
      </c>
      <c r="D127" s="85" t="s">
        <v>40</v>
      </c>
      <c r="E127" s="85" t="s">
        <v>84</v>
      </c>
      <c r="F127" s="83">
        <v>16</v>
      </c>
      <c r="G127" s="138" t="s">
        <v>85</v>
      </c>
      <c r="H127" s="101">
        <v>1.639578483716297</v>
      </c>
      <c r="I127" s="101">
        <v>0.35362045741947218</v>
      </c>
      <c r="J127" s="89"/>
      <c r="K127" s="89"/>
      <c r="L127" s="89"/>
      <c r="M127" s="89"/>
      <c r="N127" s="89"/>
      <c r="O127" s="89"/>
      <c r="P127" s="108" t="s">
        <v>86</v>
      </c>
      <c r="Q127" s="90">
        <f t="shared" si="15"/>
        <v>1.639578483716297</v>
      </c>
      <c r="R127" s="90">
        <f t="shared" si="16"/>
        <v>0.35362045741947218</v>
      </c>
    </row>
    <row r="128" spans="1:18" x14ac:dyDescent="0.2">
      <c r="A128" s="95">
        <v>9</v>
      </c>
      <c r="B128" s="95">
        <v>127</v>
      </c>
      <c r="C128" s="98" t="s">
        <v>93</v>
      </c>
      <c r="D128" s="85" t="s">
        <v>40</v>
      </c>
      <c r="E128" s="85" t="s">
        <v>81</v>
      </c>
      <c r="F128" s="83">
        <v>16</v>
      </c>
      <c r="G128" s="138" t="s">
        <v>85</v>
      </c>
      <c r="H128" s="101">
        <v>2.3989099946386339</v>
      </c>
      <c r="I128" s="101">
        <v>0.94116482306826565</v>
      </c>
      <c r="J128" s="89"/>
      <c r="K128" s="89"/>
      <c r="L128" s="89"/>
      <c r="M128" s="89"/>
      <c r="N128" s="89"/>
      <c r="O128" s="89"/>
      <c r="P128" s="108" t="s">
        <v>86</v>
      </c>
      <c r="Q128" s="90">
        <f t="shared" si="15"/>
        <v>2.3989099946386339</v>
      </c>
      <c r="R128" s="90">
        <f t="shared" si="16"/>
        <v>0.94116482306826565</v>
      </c>
    </row>
    <row r="129" spans="1:18" x14ac:dyDescent="0.2">
      <c r="A129" s="95">
        <v>9</v>
      </c>
      <c r="B129" s="95">
        <v>128</v>
      </c>
      <c r="C129" s="98" t="s">
        <v>93</v>
      </c>
      <c r="D129" s="85" t="s">
        <v>40</v>
      </c>
      <c r="E129" s="85" t="s">
        <v>87</v>
      </c>
      <c r="F129" s="83">
        <v>16</v>
      </c>
      <c r="G129" s="138" t="s">
        <v>85</v>
      </c>
      <c r="H129" s="101">
        <v>2.1689033935316488</v>
      </c>
      <c r="I129" s="101">
        <v>0.84267521352584718</v>
      </c>
      <c r="J129" s="89"/>
      <c r="K129" s="89"/>
      <c r="L129" s="89"/>
      <c r="M129" s="89"/>
      <c r="N129" s="89"/>
      <c r="O129" s="89"/>
      <c r="P129" s="108" t="s">
        <v>86</v>
      </c>
      <c r="Q129" s="90">
        <f t="shared" si="15"/>
        <v>2.1689033935316488</v>
      </c>
      <c r="R129" s="90">
        <f t="shared" si="16"/>
        <v>0.84267521352584718</v>
      </c>
    </row>
    <row r="130" spans="1:18" x14ac:dyDescent="0.2">
      <c r="A130" s="95">
        <v>10</v>
      </c>
      <c r="B130" s="95">
        <v>129</v>
      </c>
      <c r="C130" s="98" t="s">
        <v>93</v>
      </c>
      <c r="D130" s="176" t="s">
        <v>193</v>
      </c>
      <c r="E130" s="176" t="s">
        <v>84</v>
      </c>
      <c r="F130" s="177">
        <v>16</v>
      </c>
      <c r="G130" s="178" t="s">
        <v>85</v>
      </c>
      <c r="H130" s="179">
        <v>1.4232401188868919</v>
      </c>
      <c r="I130" s="179">
        <v>0.48784811746662199</v>
      </c>
      <c r="J130" s="89"/>
      <c r="K130" s="89"/>
      <c r="L130" s="89"/>
      <c r="M130" s="89"/>
      <c r="N130" s="89"/>
      <c r="O130" s="89"/>
      <c r="P130" s="108" t="s">
        <v>86</v>
      </c>
      <c r="Q130" s="90">
        <f t="shared" si="15"/>
        <v>1.4232401188868919</v>
      </c>
      <c r="R130" s="90">
        <f t="shared" si="16"/>
        <v>0.48784811746662199</v>
      </c>
    </row>
    <row r="131" spans="1:18" x14ac:dyDescent="0.2">
      <c r="A131" s="95">
        <v>10</v>
      </c>
      <c r="B131" s="95">
        <v>130</v>
      </c>
      <c r="C131" s="98" t="s">
        <v>93</v>
      </c>
      <c r="D131" s="176" t="s">
        <v>193</v>
      </c>
      <c r="E131" s="176" t="s">
        <v>81</v>
      </c>
      <c r="F131" s="177">
        <v>16</v>
      </c>
      <c r="G131" s="178" t="s">
        <v>85</v>
      </c>
      <c r="H131" s="179">
        <v>1.659690042386438</v>
      </c>
      <c r="I131" s="179">
        <v>0.63686770183268615</v>
      </c>
      <c r="J131" s="89"/>
      <c r="K131" s="89"/>
      <c r="L131" s="89"/>
      <c r="M131" s="89"/>
      <c r="N131" s="89"/>
      <c r="O131" s="89"/>
      <c r="P131" s="108" t="s">
        <v>86</v>
      </c>
      <c r="Q131" s="90">
        <f t="shared" si="15"/>
        <v>1.659690042386438</v>
      </c>
      <c r="R131" s="90">
        <f t="shared" si="16"/>
        <v>0.63686770183268615</v>
      </c>
    </row>
    <row r="132" spans="1:18" x14ac:dyDescent="0.2">
      <c r="A132" s="95">
        <v>10</v>
      </c>
      <c r="B132" s="95">
        <v>131</v>
      </c>
      <c r="C132" s="98" t="s">
        <v>93</v>
      </c>
      <c r="D132" s="176" t="s">
        <v>193</v>
      </c>
      <c r="E132" s="176" t="s">
        <v>87</v>
      </c>
      <c r="F132" s="177">
        <v>16</v>
      </c>
      <c r="G132" s="178" t="s">
        <v>85</v>
      </c>
      <c r="H132" s="179">
        <v>1.727617727734212</v>
      </c>
      <c r="I132" s="179">
        <v>0.4589849818751468</v>
      </c>
      <c r="J132" s="89"/>
      <c r="K132" s="89"/>
      <c r="L132" s="89"/>
      <c r="M132" s="89"/>
      <c r="N132" s="89"/>
      <c r="O132" s="89"/>
      <c r="P132" s="108" t="s">
        <v>86</v>
      </c>
      <c r="Q132" s="90">
        <f t="shared" si="15"/>
        <v>1.727617727734212</v>
      </c>
      <c r="R132" s="90">
        <f t="shared" si="16"/>
        <v>0.4589849818751468</v>
      </c>
    </row>
    <row r="133" spans="1:18" x14ac:dyDescent="0.2">
      <c r="A133" s="95">
        <v>11</v>
      </c>
      <c r="B133" s="95">
        <v>132</v>
      </c>
      <c r="C133" s="98" t="s">
        <v>93</v>
      </c>
      <c r="D133" s="176" t="s">
        <v>196</v>
      </c>
      <c r="E133" s="176" t="s">
        <v>84</v>
      </c>
      <c r="F133" s="177">
        <v>16</v>
      </c>
      <c r="G133" s="178" t="s">
        <v>85</v>
      </c>
      <c r="H133" s="179">
        <v>1.3122950503877959</v>
      </c>
      <c r="I133" s="179">
        <v>0.36953508974386062</v>
      </c>
      <c r="J133" s="89"/>
      <c r="K133" s="89"/>
      <c r="L133" s="89"/>
      <c r="M133" s="89"/>
      <c r="N133" s="89"/>
      <c r="O133" s="89"/>
      <c r="P133" s="108" t="s">
        <v>86</v>
      </c>
      <c r="Q133" s="90">
        <f t="shared" si="15"/>
        <v>1.3122950503877959</v>
      </c>
      <c r="R133" s="90">
        <f t="shared" si="16"/>
        <v>0.36953508974386062</v>
      </c>
    </row>
    <row r="134" spans="1:18" x14ac:dyDescent="0.2">
      <c r="A134" s="95">
        <v>11</v>
      </c>
      <c r="B134" s="95">
        <v>133</v>
      </c>
      <c r="C134" s="98" t="s">
        <v>93</v>
      </c>
      <c r="D134" s="176" t="s">
        <v>196</v>
      </c>
      <c r="E134" s="176" t="s">
        <v>81</v>
      </c>
      <c r="F134" s="177">
        <v>16</v>
      </c>
      <c r="G134" s="178" t="s">
        <v>85</v>
      </c>
      <c r="H134" s="179">
        <v>1.8424422901428901</v>
      </c>
      <c r="I134" s="179">
        <v>0.45260652029852311</v>
      </c>
      <c r="J134" s="89"/>
      <c r="K134" s="89"/>
      <c r="L134" s="89"/>
      <c r="M134" s="89"/>
      <c r="N134" s="89"/>
      <c r="O134" s="89"/>
      <c r="P134" s="108" t="s">
        <v>86</v>
      </c>
      <c r="Q134" s="90">
        <f t="shared" si="15"/>
        <v>1.8424422901428901</v>
      </c>
      <c r="R134" s="90">
        <f t="shared" si="16"/>
        <v>0.45260652029852311</v>
      </c>
    </row>
    <row r="135" spans="1:18" x14ac:dyDescent="0.2">
      <c r="A135" s="95">
        <v>11</v>
      </c>
      <c r="B135" s="95">
        <v>134</v>
      </c>
      <c r="C135" s="98" t="s">
        <v>93</v>
      </c>
      <c r="D135" s="176" t="s">
        <v>196</v>
      </c>
      <c r="E135" s="176" t="s">
        <v>87</v>
      </c>
      <c r="F135" s="177">
        <v>16</v>
      </c>
      <c r="G135" s="178" t="s">
        <v>85</v>
      </c>
      <c r="H135" s="179">
        <v>1.9443756436940189</v>
      </c>
      <c r="I135" s="179">
        <v>0.60220141821503004</v>
      </c>
      <c r="J135" s="89"/>
      <c r="K135" s="89"/>
      <c r="L135" s="89"/>
      <c r="M135" s="89"/>
      <c r="N135" s="89"/>
      <c r="O135" s="89"/>
      <c r="P135" s="108" t="s">
        <v>86</v>
      </c>
      <c r="Q135" s="90">
        <f t="shared" si="15"/>
        <v>1.9443756436940189</v>
      </c>
      <c r="R135" s="90">
        <f t="shared" si="16"/>
        <v>0.60220141821503004</v>
      </c>
    </row>
    <row r="136" spans="1:18" x14ac:dyDescent="0.2">
      <c r="A136" s="95">
        <v>4</v>
      </c>
      <c r="B136" s="95">
        <v>135</v>
      </c>
      <c r="C136" s="98" t="s">
        <v>93</v>
      </c>
      <c r="D136" s="7" t="s">
        <v>26</v>
      </c>
      <c r="E136" s="7" t="s">
        <v>84</v>
      </c>
      <c r="F136" s="95">
        <v>3</v>
      </c>
      <c r="G136" s="138" t="s">
        <v>167</v>
      </c>
      <c r="H136" s="101">
        <v>0.94157740993184036</v>
      </c>
      <c r="I136" s="101">
        <v>0.1154031482522572</v>
      </c>
      <c r="J136" s="89"/>
      <c r="K136" s="89"/>
      <c r="L136" s="89"/>
      <c r="M136" s="89"/>
      <c r="N136" s="89"/>
      <c r="O136" s="89"/>
      <c r="P136" s="169" t="s">
        <v>192</v>
      </c>
      <c r="Q136" s="170">
        <f t="shared" si="15"/>
        <v>0.94157740993184036</v>
      </c>
      <c r="R136" s="170">
        <f t="shared" si="16"/>
        <v>0.1154031482522572</v>
      </c>
    </row>
    <row r="137" spans="1:18" x14ac:dyDescent="0.2">
      <c r="A137" s="95">
        <v>4</v>
      </c>
      <c r="B137" s="95">
        <v>136</v>
      </c>
      <c r="C137" s="98" t="s">
        <v>93</v>
      </c>
      <c r="D137" s="7" t="s">
        <v>26</v>
      </c>
      <c r="E137" s="7" t="s">
        <v>81</v>
      </c>
      <c r="F137" s="95">
        <v>3</v>
      </c>
      <c r="G137" s="138" t="s">
        <v>167</v>
      </c>
      <c r="H137" s="101">
        <v>2.2552552552552552</v>
      </c>
      <c r="I137" s="101">
        <v>0.23329243911364275</v>
      </c>
      <c r="J137" s="89"/>
      <c r="K137" s="89"/>
      <c r="L137" s="89"/>
      <c r="M137" s="89"/>
      <c r="N137" s="89"/>
      <c r="O137" s="89"/>
      <c r="P137" s="169" t="s">
        <v>192</v>
      </c>
      <c r="Q137" s="170">
        <f t="shared" si="15"/>
        <v>2.2552552552552552</v>
      </c>
      <c r="R137" s="170">
        <f t="shared" si="16"/>
        <v>0.23329243911364275</v>
      </c>
    </row>
    <row r="138" spans="1:18" x14ac:dyDescent="0.2">
      <c r="A138" s="95">
        <v>4</v>
      </c>
      <c r="B138" s="95">
        <v>137</v>
      </c>
      <c r="C138" s="98" t="s">
        <v>93</v>
      </c>
      <c r="D138" s="7" t="s">
        <v>26</v>
      </c>
      <c r="E138" s="149" t="s">
        <v>87</v>
      </c>
      <c r="F138" s="95">
        <v>3</v>
      </c>
      <c r="G138" s="138" t="s">
        <v>167</v>
      </c>
      <c r="H138" s="101">
        <v>9.8601694915254257</v>
      </c>
      <c r="I138" s="101">
        <v>1.0800496902579981</v>
      </c>
      <c r="J138" s="89"/>
      <c r="K138" s="89"/>
      <c r="L138" s="89"/>
      <c r="M138" s="89"/>
      <c r="N138" s="89"/>
      <c r="O138" s="89"/>
      <c r="P138" s="169" t="s">
        <v>192</v>
      </c>
      <c r="Q138" s="170">
        <f t="shared" si="15"/>
        <v>9.8601694915254257</v>
      </c>
      <c r="R138" s="170">
        <f>I138</f>
        <v>1.0800496902579981</v>
      </c>
    </row>
    <row r="139" spans="1:18" x14ac:dyDescent="0.2">
      <c r="A139" s="95">
        <v>12</v>
      </c>
      <c r="B139" s="95">
        <v>138</v>
      </c>
      <c r="C139" s="98" t="s">
        <v>93</v>
      </c>
      <c r="D139" s="7" t="s">
        <v>42</v>
      </c>
      <c r="E139" s="7" t="s">
        <v>84</v>
      </c>
      <c r="F139" s="95">
        <v>9</v>
      </c>
      <c r="G139" s="138" t="s">
        <v>167</v>
      </c>
      <c r="H139" s="101">
        <v>8.4573459715639814</v>
      </c>
      <c r="I139" s="101">
        <v>3.416575636237897</v>
      </c>
      <c r="J139" s="89"/>
      <c r="K139" s="89"/>
      <c r="L139" s="89"/>
      <c r="M139" s="89"/>
      <c r="N139" s="89"/>
      <c r="O139" s="89"/>
      <c r="P139" s="169" t="s">
        <v>192</v>
      </c>
      <c r="Q139" s="170">
        <f t="shared" si="15"/>
        <v>8.4573459715639814</v>
      </c>
      <c r="R139" s="170">
        <f t="shared" si="16"/>
        <v>3.416575636237897</v>
      </c>
    </row>
    <row r="140" spans="1:18" x14ac:dyDescent="0.2">
      <c r="A140" s="95">
        <v>12</v>
      </c>
      <c r="B140" s="95">
        <v>139</v>
      </c>
      <c r="C140" s="98" t="s">
        <v>93</v>
      </c>
      <c r="D140" s="7" t="s">
        <v>42</v>
      </c>
      <c r="E140" s="7" t="s">
        <v>81</v>
      </c>
      <c r="F140" s="95">
        <v>9</v>
      </c>
      <c r="G140" s="138" t="s">
        <v>167</v>
      </c>
      <c r="H140" s="101">
        <v>4.1580135440180594</v>
      </c>
      <c r="I140" s="101">
        <v>1.4897922487242736</v>
      </c>
      <c r="J140" s="89"/>
      <c r="K140" s="89"/>
      <c r="L140" s="89"/>
      <c r="M140" s="89"/>
      <c r="N140" s="89"/>
      <c r="O140" s="89"/>
      <c r="P140" s="169" t="s">
        <v>192</v>
      </c>
      <c r="Q140" s="170">
        <f t="shared" si="15"/>
        <v>4.1580135440180594</v>
      </c>
      <c r="R140" s="170">
        <f t="shared" si="16"/>
        <v>1.4897922487242736</v>
      </c>
    </row>
    <row r="141" spans="1:18" x14ac:dyDescent="0.2">
      <c r="A141" s="95">
        <v>12</v>
      </c>
      <c r="B141" s="95">
        <v>140</v>
      </c>
      <c r="C141" s="98" t="s">
        <v>93</v>
      </c>
      <c r="D141" s="7" t="s">
        <v>42</v>
      </c>
      <c r="E141" s="7" t="s">
        <v>83</v>
      </c>
      <c r="F141" s="95">
        <v>9</v>
      </c>
      <c r="G141" s="138" t="s">
        <v>167</v>
      </c>
      <c r="H141" s="101">
        <v>3.657342657342658</v>
      </c>
      <c r="I141" s="101">
        <v>2.280264803552865</v>
      </c>
      <c r="J141" s="89"/>
      <c r="K141" s="89"/>
      <c r="L141" s="89"/>
      <c r="M141" s="89"/>
      <c r="N141" s="89"/>
      <c r="O141" s="89"/>
      <c r="P141" s="169" t="s">
        <v>192</v>
      </c>
      <c r="Q141" s="170">
        <f t="shared" si="15"/>
        <v>3.657342657342658</v>
      </c>
      <c r="R141" s="170">
        <f t="shared" si="16"/>
        <v>2.280264803552865</v>
      </c>
    </row>
    <row r="142" spans="1:18" x14ac:dyDescent="0.2">
      <c r="A142" s="95">
        <v>12</v>
      </c>
      <c r="B142" s="95">
        <v>141</v>
      </c>
      <c r="C142" s="98" t="s">
        <v>93</v>
      </c>
      <c r="D142" s="7" t="s">
        <v>42</v>
      </c>
      <c r="E142" s="149" t="s">
        <v>87</v>
      </c>
      <c r="F142" s="95">
        <v>9</v>
      </c>
      <c r="G142" s="138" t="s">
        <v>167</v>
      </c>
      <c r="H142" s="101">
        <v>5.2667910447761201</v>
      </c>
      <c r="I142" s="101">
        <v>3.3286484172160478</v>
      </c>
      <c r="J142" s="89"/>
      <c r="K142" s="89"/>
      <c r="L142" s="89"/>
      <c r="M142" s="89"/>
      <c r="N142" s="89"/>
      <c r="O142" s="89"/>
      <c r="P142" s="169" t="s">
        <v>192</v>
      </c>
      <c r="Q142" s="170">
        <f t="shared" si="15"/>
        <v>5.2667910447761201</v>
      </c>
      <c r="R142" s="170">
        <f t="shared" si="16"/>
        <v>3.3286484172160478</v>
      </c>
    </row>
    <row r="143" spans="1:18" x14ac:dyDescent="0.2">
      <c r="A143" s="95">
        <v>13</v>
      </c>
      <c r="B143" s="95">
        <v>142</v>
      </c>
      <c r="C143" s="98" t="s">
        <v>93</v>
      </c>
      <c r="D143" s="7" t="s">
        <v>47</v>
      </c>
      <c r="E143" s="7" t="s">
        <v>84</v>
      </c>
      <c r="F143" s="95">
        <v>18</v>
      </c>
      <c r="G143" s="138" t="s">
        <v>167</v>
      </c>
      <c r="H143" s="101">
        <v>1.7035330261136712</v>
      </c>
      <c r="I143" s="101">
        <v>0.5109879576106483</v>
      </c>
      <c r="J143" s="89"/>
      <c r="K143" s="89"/>
      <c r="L143" s="89"/>
      <c r="M143" s="89"/>
      <c r="N143" s="89"/>
      <c r="O143" s="89"/>
      <c r="P143" s="169" t="s">
        <v>192</v>
      </c>
      <c r="Q143" s="170">
        <f t="shared" si="15"/>
        <v>1.7035330261136712</v>
      </c>
      <c r="R143" s="170">
        <f t="shared" si="16"/>
        <v>0.5109879576106483</v>
      </c>
    </row>
    <row r="144" spans="1:18" x14ac:dyDescent="0.2">
      <c r="A144" s="95">
        <v>13</v>
      </c>
      <c r="B144" s="95">
        <v>143</v>
      </c>
      <c r="C144" s="98" t="s">
        <v>93</v>
      </c>
      <c r="D144" s="7" t="s">
        <v>47</v>
      </c>
      <c r="E144" s="7" t="s">
        <v>81</v>
      </c>
      <c r="F144" s="95">
        <v>18</v>
      </c>
      <c r="G144" s="138" t="s">
        <v>167</v>
      </c>
      <c r="H144" s="101">
        <v>1.2438118811881189</v>
      </c>
      <c r="I144" s="101">
        <v>0.37226874760146228</v>
      </c>
      <c r="J144" s="89"/>
      <c r="K144" s="89"/>
      <c r="L144" s="89"/>
      <c r="M144" s="89"/>
      <c r="N144" s="89"/>
      <c r="O144" s="89"/>
      <c r="P144" s="169" t="s">
        <v>192</v>
      </c>
      <c r="Q144" s="170">
        <f t="shared" si="15"/>
        <v>1.2438118811881189</v>
      </c>
      <c r="R144" s="170">
        <f t="shared" si="16"/>
        <v>0.37226874760146228</v>
      </c>
    </row>
    <row r="145" spans="1:18" x14ac:dyDescent="0.2">
      <c r="A145" s="95">
        <v>14</v>
      </c>
      <c r="B145" s="95">
        <v>144</v>
      </c>
      <c r="C145" s="98" t="s">
        <v>93</v>
      </c>
      <c r="D145" s="176" t="s">
        <v>197</v>
      </c>
      <c r="E145" s="176" t="s">
        <v>84</v>
      </c>
      <c r="F145" s="177">
        <v>7</v>
      </c>
      <c r="G145" s="138" t="s">
        <v>167</v>
      </c>
      <c r="H145" s="101">
        <v>2.4</v>
      </c>
      <c r="I145" s="101">
        <v>2.2097963707093009</v>
      </c>
      <c r="J145" s="89"/>
      <c r="K145" s="89"/>
      <c r="L145" s="89"/>
      <c r="M145" s="89"/>
      <c r="N145" s="89"/>
      <c r="O145" s="89"/>
      <c r="P145" s="169" t="s">
        <v>192</v>
      </c>
      <c r="Q145" s="170">
        <f>H145</f>
        <v>2.4</v>
      </c>
      <c r="R145" s="170">
        <f>I145</f>
        <v>2.2097963707093009</v>
      </c>
    </row>
    <row r="146" spans="1:18" x14ac:dyDescent="0.2">
      <c r="A146" s="95">
        <v>14</v>
      </c>
      <c r="B146" s="95">
        <v>145</v>
      </c>
      <c r="C146" s="98" t="s">
        <v>93</v>
      </c>
      <c r="D146" s="176" t="s">
        <v>197</v>
      </c>
      <c r="E146" s="176" t="s">
        <v>81</v>
      </c>
      <c r="F146" s="177">
        <v>7</v>
      </c>
      <c r="G146" s="138" t="s">
        <v>167</v>
      </c>
      <c r="H146" s="101">
        <v>2.5</v>
      </c>
      <c r="I146" s="101">
        <v>2.8831406486676991</v>
      </c>
      <c r="J146" s="89"/>
      <c r="K146" s="89"/>
      <c r="L146" s="89"/>
      <c r="M146" s="89"/>
      <c r="N146" s="89"/>
      <c r="O146" s="89"/>
      <c r="P146" s="169" t="s">
        <v>192</v>
      </c>
      <c r="Q146" s="170">
        <f t="shared" ref="Q146:Q157" si="17">H146</f>
        <v>2.5</v>
      </c>
      <c r="R146" s="170">
        <f t="shared" ref="R146:R157" si="18">I146</f>
        <v>2.8831406486676991</v>
      </c>
    </row>
    <row r="147" spans="1:18" x14ac:dyDescent="0.2">
      <c r="A147" s="95">
        <v>14</v>
      </c>
      <c r="B147" s="95">
        <v>146</v>
      </c>
      <c r="C147" s="98" t="s">
        <v>93</v>
      </c>
      <c r="D147" s="176" t="s">
        <v>197</v>
      </c>
      <c r="E147" s="176" t="s">
        <v>83</v>
      </c>
      <c r="F147" s="177">
        <v>7</v>
      </c>
      <c r="G147" s="138" t="s">
        <v>167</v>
      </c>
      <c r="H147" s="101">
        <v>1.5999999999999999</v>
      </c>
      <c r="I147" s="101">
        <v>1.4816207341961707</v>
      </c>
      <c r="J147" s="89"/>
      <c r="K147" s="89"/>
      <c r="L147" s="89"/>
      <c r="M147" s="89"/>
      <c r="N147" s="89"/>
      <c r="O147" s="89"/>
      <c r="P147" s="169" t="s">
        <v>192</v>
      </c>
      <c r="Q147" s="170">
        <f t="shared" si="17"/>
        <v>1.5999999999999999</v>
      </c>
      <c r="R147" s="170">
        <f t="shared" si="18"/>
        <v>1.4816207341961707</v>
      </c>
    </row>
    <row r="148" spans="1:18" x14ac:dyDescent="0.2">
      <c r="A148" s="95">
        <v>15</v>
      </c>
      <c r="B148" s="95">
        <v>147</v>
      </c>
      <c r="C148" s="98" t="s">
        <v>93</v>
      </c>
      <c r="D148" s="176" t="s">
        <v>198</v>
      </c>
      <c r="E148" s="176" t="s">
        <v>84</v>
      </c>
      <c r="F148" s="177">
        <v>7</v>
      </c>
      <c r="G148" s="138" t="s">
        <v>167</v>
      </c>
      <c r="H148" s="101">
        <v>2.4</v>
      </c>
      <c r="I148" s="101">
        <v>2.2224311012942559</v>
      </c>
      <c r="J148" s="89"/>
      <c r="K148" s="89"/>
      <c r="L148" s="89"/>
      <c r="M148" s="89"/>
      <c r="N148" s="89"/>
      <c r="O148" s="89"/>
      <c r="P148" s="169" t="s">
        <v>192</v>
      </c>
      <c r="Q148" s="170">
        <f t="shared" si="17"/>
        <v>2.4</v>
      </c>
      <c r="R148" s="170">
        <f t="shared" si="18"/>
        <v>2.2224311012942559</v>
      </c>
    </row>
    <row r="149" spans="1:18" x14ac:dyDescent="0.2">
      <c r="A149" s="95">
        <v>15</v>
      </c>
      <c r="B149" s="95">
        <v>148</v>
      </c>
      <c r="C149" s="98" t="s">
        <v>93</v>
      </c>
      <c r="D149" s="176" t="s">
        <v>198</v>
      </c>
      <c r="E149" s="176" t="s">
        <v>81</v>
      </c>
      <c r="F149" s="177">
        <v>7</v>
      </c>
      <c r="G149" s="138" t="s">
        <v>167</v>
      </c>
      <c r="H149" s="101">
        <v>2.6</v>
      </c>
      <c r="I149" s="101">
        <v>2.4954358336771549</v>
      </c>
      <c r="J149" s="89"/>
      <c r="K149" s="89"/>
      <c r="L149" s="89"/>
      <c r="M149" s="89"/>
      <c r="N149" s="89"/>
      <c r="O149" s="89"/>
      <c r="P149" s="169" t="s">
        <v>192</v>
      </c>
      <c r="Q149" s="170">
        <f t="shared" si="17"/>
        <v>2.6</v>
      </c>
      <c r="R149" s="170">
        <f t="shared" si="18"/>
        <v>2.4954358336771549</v>
      </c>
    </row>
    <row r="150" spans="1:18" x14ac:dyDescent="0.2">
      <c r="A150" s="95">
        <v>15</v>
      </c>
      <c r="B150" s="95">
        <v>149</v>
      </c>
      <c r="C150" s="98" t="s">
        <v>93</v>
      </c>
      <c r="D150" s="176" t="s">
        <v>198</v>
      </c>
      <c r="E150" s="176" t="s">
        <v>83</v>
      </c>
      <c r="F150" s="177">
        <v>7</v>
      </c>
      <c r="G150" s="138" t="s">
        <v>167</v>
      </c>
      <c r="H150" s="101">
        <v>2.4</v>
      </c>
      <c r="I150" s="101">
        <v>1.4549226783578568</v>
      </c>
      <c r="J150" s="89"/>
      <c r="K150" s="89"/>
      <c r="L150" s="89"/>
      <c r="M150" s="89"/>
      <c r="N150" s="89"/>
      <c r="O150" s="89"/>
      <c r="P150" s="169" t="s">
        <v>192</v>
      </c>
      <c r="Q150" s="170">
        <f t="shared" si="17"/>
        <v>2.4</v>
      </c>
      <c r="R150" s="170">
        <f t="shared" si="18"/>
        <v>1.4549226783578568</v>
      </c>
    </row>
    <row r="151" spans="1:18" x14ac:dyDescent="0.2">
      <c r="A151" s="95">
        <v>16</v>
      </c>
      <c r="B151" s="95">
        <v>150</v>
      </c>
      <c r="C151" s="98" t="s">
        <v>93</v>
      </c>
      <c r="D151" s="176" t="s">
        <v>199</v>
      </c>
      <c r="E151" s="176" t="s">
        <v>84</v>
      </c>
      <c r="F151" s="177">
        <v>7</v>
      </c>
      <c r="G151" s="138" t="s">
        <v>167</v>
      </c>
      <c r="H151" s="101">
        <v>3.666666666666667</v>
      </c>
      <c r="I151" s="101">
        <v>2.8952920490656413</v>
      </c>
      <c r="J151" s="89"/>
      <c r="K151" s="89"/>
      <c r="L151" s="89"/>
      <c r="M151" s="89"/>
      <c r="N151" s="89"/>
      <c r="O151" s="89"/>
      <c r="P151" s="169" t="s">
        <v>192</v>
      </c>
      <c r="Q151" s="170">
        <f t="shared" si="17"/>
        <v>3.666666666666667</v>
      </c>
      <c r="R151" s="170">
        <f t="shared" si="18"/>
        <v>2.8952920490656413</v>
      </c>
    </row>
    <row r="152" spans="1:18" x14ac:dyDescent="0.2">
      <c r="A152" s="95">
        <v>16</v>
      </c>
      <c r="B152" s="95">
        <v>151</v>
      </c>
      <c r="C152" s="98" t="s">
        <v>93</v>
      </c>
      <c r="D152" s="176" t="s">
        <v>199</v>
      </c>
      <c r="E152" s="176" t="s">
        <v>81</v>
      </c>
      <c r="F152" s="177">
        <v>7</v>
      </c>
      <c r="G152" s="138" t="s">
        <v>167</v>
      </c>
      <c r="H152" s="101">
        <v>3</v>
      </c>
      <c r="I152" s="101">
        <v>1.984313483298443</v>
      </c>
      <c r="J152" s="89"/>
      <c r="K152" s="89"/>
      <c r="L152" s="89"/>
      <c r="M152" s="89"/>
      <c r="N152" s="89"/>
      <c r="O152" s="89"/>
      <c r="P152" s="169" t="s">
        <v>192</v>
      </c>
      <c r="Q152" s="170">
        <f t="shared" si="17"/>
        <v>3</v>
      </c>
      <c r="R152" s="170">
        <f t="shared" si="18"/>
        <v>1.984313483298443</v>
      </c>
    </row>
    <row r="153" spans="1:18" x14ac:dyDescent="0.2">
      <c r="A153" s="95">
        <v>16</v>
      </c>
      <c r="B153" s="95">
        <v>152</v>
      </c>
      <c r="C153" s="98" t="s">
        <v>93</v>
      </c>
      <c r="D153" s="176" t="s">
        <v>199</v>
      </c>
      <c r="E153" s="176" t="s">
        <v>83</v>
      </c>
      <c r="F153" s="177">
        <v>7</v>
      </c>
      <c r="G153" s="138" t="s">
        <v>167</v>
      </c>
      <c r="H153" s="101">
        <v>2.75</v>
      </c>
      <c r="I153" s="101">
        <v>1.628601777599423</v>
      </c>
      <c r="J153" s="89"/>
      <c r="K153" s="89"/>
      <c r="L153" s="89"/>
      <c r="M153" s="89"/>
      <c r="N153" s="89"/>
      <c r="O153" s="89"/>
      <c r="P153" s="169" t="s">
        <v>192</v>
      </c>
      <c r="Q153" s="170">
        <f t="shared" si="17"/>
        <v>2.75</v>
      </c>
      <c r="R153" s="170">
        <f t="shared" si="18"/>
        <v>1.628601777599423</v>
      </c>
    </row>
    <row r="154" spans="1:18" x14ac:dyDescent="0.2">
      <c r="A154" s="95">
        <v>17</v>
      </c>
      <c r="B154" s="95">
        <v>153</v>
      </c>
      <c r="C154" s="98" t="s">
        <v>93</v>
      </c>
      <c r="D154" s="176" t="s">
        <v>200</v>
      </c>
      <c r="E154" s="176" t="s">
        <v>84</v>
      </c>
      <c r="F154" s="177">
        <v>16</v>
      </c>
      <c r="G154" s="138" t="s">
        <v>167</v>
      </c>
      <c r="H154" s="101">
        <v>0.625</v>
      </c>
      <c r="I154" s="101">
        <v>0.109375</v>
      </c>
      <c r="J154" s="89"/>
      <c r="K154" s="89"/>
      <c r="L154" s="89"/>
      <c r="M154" s="89"/>
      <c r="N154" s="89"/>
      <c r="O154" s="89"/>
      <c r="P154" s="169" t="s">
        <v>192</v>
      </c>
      <c r="Q154" s="170">
        <f t="shared" si="17"/>
        <v>0.625</v>
      </c>
      <c r="R154" s="170">
        <f t="shared" si="18"/>
        <v>0.109375</v>
      </c>
    </row>
    <row r="155" spans="1:18" x14ac:dyDescent="0.2">
      <c r="A155" s="95">
        <v>17</v>
      </c>
      <c r="B155" s="95">
        <v>154</v>
      </c>
      <c r="C155" s="98" t="s">
        <v>93</v>
      </c>
      <c r="D155" s="176" t="s">
        <v>200</v>
      </c>
      <c r="E155" s="176" t="s">
        <v>81</v>
      </c>
      <c r="F155" s="177">
        <v>16</v>
      </c>
      <c r="G155" s="138" t="s">
        <v>167</v>
      </c>
      <c r="H155" s="101">
        <v>0.6</v>
      </c>
      <c r="I155" s="101">
        <v>0.11135528725660042</v>
      </c>
      <c r="J155" s="89"/>
      <c r="K155" s="89"/>
      <c r="L155" s="89"/>
      <c r="M155" s="89"/>
      <c r="N155" s="89"/>
      <c r="O155" s="89"/>
      <c r="P155" s="169" t="s">
        <v>192</v>
      </c>
      <c r="Q155" s="170">
        <f t="shared" si="17"/>
        <v>0.6</v>
      </c>
      <c r="R155" s="170">
        <f t="shared" si="18"/>
        <v>0.11135528725660042</v>
      </c>
    </row>
    <row r="156" spans="1:18" x14ac:dyDescent="0.2">
      <c r="A156" s="95">
        <v>18</v>
      </c>
      <c r="B156" s="95">
        <v>155</v>
      </c>
      <c r="C156" s="98" t="s">
        <v>93</v>
      </c>
      <c r="D156" s="176" t="s">
        <v>201</v>
      </c>
      <c r="E156" s="176" t="s">
        <v>84</v>
      </c>
      <c r="F156" s="177">
        <v>10</v>
      </c>
      <c r="G156" s="138" t="s">
        <v>167</v>
      </c>
      <c r="H156" s="101">
        <v>0.6</v>
      </c>
      <c r="I156" s="101">
        <v>0.17435595774162693</v>
      </c>
      <c r="J156" s="89"/>
      <c r="K156" s="89"/>
      <c r="L156" s="89"/>
      <c r="M156" s="89"/>
      <c r="N156" s="89"/>
      <c r="O156" s="89"/>
      <c r="P156" s="169" t="s">
        <v>192</v>
      </c>
      <c r="Q156" s="170">
        <f t="shared" si="17"/>
        <v>0.6</v>
      </c>
      <c r="R156" s="170">
        <f t="shared" si="18"/>
        <v>0.17435595774162693</v>
      </c>
    </row>
    <row r="157" spans="1:18" x14ac:dyDescent="0.2">
      <c r="A157" s="95">
        <v>18</v>
      </c>
      <c r="B157" s="95">
        <v>156</v>
      </c>
      <c r="C157" s="98" t="s">
        <v>93</v>
      </c>
      <c r="D157" s="176" t="s">
        <v>201</v>
      </c>
      <c r="E157" s="176" t="s">
        <v>81</v>
      </c>
      <c r="F157" s="177">
        <v>10</v>
      </c>
      <c r="G157" s="138" t="s">
        <v>167</v>
      </c>
      <c r="H157" s="101">
        <v>0.85714285714285698</v>
      </c>
      <c r="I157" s="101">
        <v>0.24827602164482529</v>
      </c>
      <c r="J157" s="89"/>
      <c r="K157" s="89"/>
      <c r="L157" s="89"/>
      <c r="M157" s="89"/>
      <c r="N157" s="89"/>
      <c r="O157" s="89"/>
      <c r="P157" s="169" t="s">
        <v>192</v>
      </c>
      <c r="Q157" s="170">
        <f t="shared" si="17"/>
        <v>0.85714285714285698</v>
      </c>
      <c r="R157" s="170">
        <f t="shared" si="18"/>
        <v>0.24827602164482529</v>
      </c>
    </row>
  </sheetData>
  <autoFilter ref="A1:R157" xr:uid="{882B1B0A-C51E-3A41-ACB4-721FC63402A4}"/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3501-8E43-3949-A72B-4864D722404F}">
  <sheetPr>
    <tabColor theme="0" tint="-0.499984740745262"/>
  </sheetPr>
  <dimension ref="A1:P53"/>
  <sheetViews>
    <sheetView workbookViewId="0">
      <selection activeCell="O31" sqref="O31"/>
    </sheetView>
  </sheetViews>
  <sheetFormatPr baseColWidth="10" defaultColWidth="11.5" defaultRowHeight="15" x14ac:dyDescent="0.2"/>
  <cols>
    <col min="1" max="1" width="7.6640625" bestFit="1" customWidth="1"/>
    <col min="2" max="2" width="6.83203125" bestFit="1" customWidth="1"/>
    <col min="3" max="3" width="29.5" bestFit="1" customWidth="1"/>
    <col min="4" max="4" width="8.33203125" bestFit="1" customWidth="1"/>
    <col min="5" max="5" width="8.83203125" bestFit="1" customWidth="1"/>
    <col min="6" max="6" width="9.83203125" bestFit="1" customWidth="1"/>
    <col min="7" max="11" width="11.6640625" bestFit="1" customWidth="1"/>
    <col min="12" max="12" width="8.1640625" bestFit="1" customWidth="1"/>
    <col min="13" max="13" width="8" bestFit="1" customWidth="1"/>
    <col min="14" max="14" width="11.6640625" customWidth="1"/>
    <col min="16" max="16" width="11.6640625" bestFit="1" customWidth="1"/>
  </cols>
  <sheetData>
    <row r="1" spans="1:16" ht="17" thickBot="1" x14ac:dyDescent="0.25">
      <c r="A1" s="81" t="s">
        <v>165</v>
      </c>
      <c r="B1" s="81" t="s">
        <v>164</v>
      </c>
      <c r="C1" s="1" t="s">
        <v>0</v>
      </c>
      <c r="D1" s="1" t="s">
        <v>67</v>
      </c>
      <c r="E1" s="1" t="s">
        <v>68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163</v>
      </c>
      <c r="P1" s="73" t="s">
        <v>101</v>
      </c>
    </row>
    <row r="2" spans="1:16" x14ac:dyDescent="0.2">
      <c r="A2" s="95">
        <v>1</v>
      </c>
      <c r="B2" s="95">
        <v>105</v>
      </c>
      <c r="C2" s="3" t="s">
        <v>12</v>
      </c>
      <c r="D2" s="3" t="s">
        <v>84</v>
      </c>
      <c r="E2" s="60">
        <v>7</v>
      </c>
      <c r="F2" s="74">
        <v>9.5566666666666666</v>
      </c>
      <c r="G2" s="74">
        <v>5.6949604832969358</v>
      </c>
      <c r="H2" s="74">
        <v>3.6199999999999997</v>
      </c>
      <c r="I2" s="74">
        <v>1.6625610443173311</v>
      </c>
      <c r="J2" s="134">
        <v>2.8466666666666671</v>
      </c>
      <c r="K2" s="134">
        <v>2.0116070094226277</v>
      </c>
      <c r="L2" s="144" t="s">
        <v>57</v>
      </c>
      <c r="M2" s="58"/>
      <c r="O2" s="100"/>
      <c r="P2" s="50">
        <v>0.5</v>
      </c>
    </row>
    <row r="3" spans="1:16" x14ac:dyDescent="0.2">
      <c r="A3" s="95">
        <v>1</v>
      </c>
      <c r="B3" s="95">
        <v>106</v>
      </c>
      <c r="C3" s="7" t="s">
        <v>12</v>
      </c>
      <c r="D3" s="7" t="s">
        <v>81</v>
      </c>
      <c r="E3" s="61">
        <v>7</v>
      </c>
      <c r="F3" s="74">
        <v>14.126666666666665</v>
      </c>
      <c r="G3" s="74">
        <v>7.6606403920478146</v>
      </c>
      <c r="H3" s="74">
        <v>4.0766666666666671</v>
      </c>
      <c r="I3" s="74">
        <v>3.352678349037713</v>
      </c>
      <c r="J3" s="134">
        <v>4.4666666666666668</v>
      </c>
      <c r="K3" s="134">
        <v>4.6661934282497484</v>
      </c>
      <c r="L3" s="144" t="s">
        <v>57</v>
      </c>
      <c r="O3" s="100"/>
    </row>
    <row r="4" spans="1:16" x14ac:dyDescent="0.2">
      <c r="A4" s="95">
        <v>1</v>
      </c>
      <c r="B4" s="95">
        <v>107</v>
      </c>
      <c r="C4" s="7" t="s">
        <v>12</v>
      </c>
      <c r="D4" s="7" t="s">
        <v>83</v>
      </c>
      <c r="E4" s="61">
        <v>7</v>
      </c>
      <c r="F4" s="74">
        <v>6.7266666666666666</v>
      </c>
      <c r="G4" s="74">
        <v>5.6122917020877869</v>
      </c>
      <c r="H4" s="74">
        <v>3.723333333333334</v>
      </c>
      <c r="I4" s="74">
        <v>2.2412425127813753</v>
      </c>
      <c r="J4" s="134">
        <v>1.4733333333333334</v>
      </c>
      <c r="K4" s="134">
        <v>0.76238987115104151</v>
      </c>
      <c r="L4" s="144" t="s">
        <v>57</v>
      </c>
      <c r="O4" s="100"/>
    </row>
    <row r="5" spans="1:16" x14ac:dyDescent="0.2">
      <c r="A5" s="95">
        <v>2</v>
      </c>
      <c r="B5" s="95">
        <v>108</v>
      </c>
      <c r="C5" s="85" t="s">
        <v>228</v>
      </c>
      <c r="D5" s="7" t="s">
        <v>84</v>
      </c>
      <c r="E5" s="61">
        <v>14</v>
      </c>
      <c r="F5" s="74">
        <v>23.9</v>
      </c>
      <c r="G5" s="74">
        <v>3.14</v>
      </c>
      <c r="H5" s="74">
        <v>14.84</v>
      </c>
      <c r="I5" s="74">
        <v>6.87</v>
      </c>
      <c r="J5" s="77">
        <v>2.11</v>
      </c>
      <c r="K5" s="77">
        <v>1.39</v>
      </c>
      <c r="L5" s="121" t="s">
        <v>86</v>
      </c>
      <c r="M5" s="78"/>
      <c r="O5" s="100"/>
    </row>
    <row r="6" spans="1:16" x14ac:dyDescent="0.2">
      <c r="A6" s="95">
        <v>2</v>
      </c>
      <c r="B6" s="95">
        <v>109</v>
      </c>
      <c r="C6" s="85" t="s">
        <v>228</v>
      </c>
      <c r="D6" s="7" t="s">
        <v>81</v>
      </c>
      <c r="E6" s="61">
        <v>14</v>
      </c>
      <c r="F6" s="74">
        <v>31.65</v>
      </c>
      <c r="G6" s="74">
        <v>3.23</v>
      </c>
      <c r="H6" s="74">
        <v>11.47</v>
      </c>
      <c r="I6" s="74">
        <v>2.72</v>
      </c>
      <c r="J6" s="77">
        <v>2.93</v>
      </c>
      <c r="K6" s="77">
        <v>0.84</v>
      </c>
      <c r="L6" s="121" t="s">
        <v>86</v>
      </c>
      <c r="M6" s="79"/>
      <c r="O6" s="100"/>
    </row>
    <row r="7" spans="1:16" x14ac:dyDescent="0.2">
      <c r="A7" s="95">
        <v>2</v>
      </c>
      <c r="B7" s="95">
        <v>110</v>
      </c>
      <c r="C7" s="85" t="s">
        <v>228</v>
      </c>
      <c r="D7" s="149" t="s">
        <v>87</v>
      </c>
      <c r="E7" s="61">
        <v>14</v>
      </c>
      <c r="F7" s="74">
        <v>35.36</v>
      </c>
      <c r="G7" s="74">
        <v>5.34</v>
      </c>
      <c r="H7" s="74">
        <v>13.58</v>
      </c>
      <c r="I7" s="74">
        <v>3.25</v>
      </c>
      <c r="J7" s="77">
        <v>2.7</v>
      </c>
      <c r="K7" s="77">
        <v>0.56000000000000005</v>
      </c>
      <c r="L7" s="121" t="s">
        <v>86</v>
      </c>
      <c r="M7" s="79"/>
      <c r="O7" s="100"/>
    </row>
    <row r="8" spans="1:16" x14ac:dyDescent="0.2">
      <c r="A8" s="95">
        <v>3</v>
      </c>
      <c r="B8" s="95">
        <v>111</v>
      </c>
      <c r="C8" s="200" t="s">
        <v>229</v>
      </c>
      <c r="D8" s="176" t="s">
        <v>84</v>
      </c>
      <c r="E8" s="202">
        <v>14</v>
      </c>
      <c r="F8" s="189">
        <v>17.05</v>
      </c>
      <c r="G8" s="189">
        <v>4.08</v>
      </c>
      <c r="H8" s="189">
        <v>17.649999999999999</v>
      </c>
      <c r="I8" s="189">
        <v>6.72</v>
      </c>
      <c r="J8" s="190">
        <v>1.1000000000000001</v>
      </c>
      <c r="K8" s="190">
        <v>0.46</v>
      </c>
      <c r="L8" s="121" t="s">
        <v>86</v>
      </c>
      <c r="M8" s="79"/>
      <c r="O8" s="100"/>
    </row>
    <row r="9" spans="1:16" x14ac:dyDescent="0.2">
      <c r="A9" s="95">
        <v>3</v>
      </c>
      <c r="B9" s="95">
        <v>112</v>
      </c>
      <c r="C9" s="200" t="s">
        <v>229</v>
      </c>
      <c r="D9" s="176" t="s">
        <v>81</v>
      </c>
      <c r="E9" s="202">
        <v>14</v>
      </c>
      <c r="F9" s="189">
        <v>25.07</v>
      </c>
      <c r="G9" s="189">
        <v>5.1100000000000003</v>
      </c>
      <c r="H9" s="189">
        <v>15.59</v>
      </c>
      <c r="I9" s="189">
        <v>4.1500000000000004</v>
      </c>
      <c r="J9" s="190">
        <v>1.75</v>
      </c>
      <c r="K9" s="190">
        <v>0.7</v>
      </c>
      <c r="L9" s="121" t="s">
        <v>86</v>
      </c>
      <c r="M9" s="79"/>
      <c r="O9" s="100"/>
    </row>
    <row r="10" spans="1:16" x14ac:dyDescent="0.2">
      <c r="A10" s="95">
        <v>3</v>
      </c>
      <c r="B10" s="95">
        <v>113</v>
      </c>
      <c r="C10" s="200" t="s">
        <v>229</v>
      </c>
      <c r="D10" s="176" t="s">
        <v>87</v>
      </c>
      <c r="E10" s="202">
        <v>14</v>
      </c>
      <c r="F10" s="189">
        <v>27.68</v>
      </c>
      <c r="G10" s="189">
        <v>4.5599999999999996</v>
      </c>
      <c r="H10" s="189">
        <v>16.100000000000001</v>
      </c>
      <c r="I10" s="189">
        <v>3.85</v>
      </c>
      <c r="J10" s="190">
        <v>1.8</v>
      </c>
      <c r="K10" s="190">
        <v>0.44</v>
      </c>
      <c r="L10" s="121" t="s">
        <v>86</v>
      </c>
      <c r="M10" s="79"/>
      <c r="O10" s="100"/>
    </row>
    <row r="11" spans="1:16" x14ac:dyDescent="0.2">
      <c r="A11" s="95">
        <v>5</v>
      </c>
      <c r="B11" s="95">
        <v>114</v>
      </c>
      <c r="C11" s="7" t="s">
        <v>28</v>
      </c>
      <c r="D11" s="7" t="s">
        <v>84</v>
      </c>
      <c r="E11" s="188">
        <v>31</v>
      </c>
      <c r="F11" s="189">
        <v>21.28387</v>
      </c>
      <c r="G11" s="189">
        <v>3.557671</v>
      </c>
      <c r="H11" s="189">
        <v>10.02290322580645</v>
      </c>
      <c r="I11" s="189">
        <v>2.0508342912879591</v>
      </c>
      <c r="J11" s="190">
        <v>2.2031884779865258</v>
      </c>
      <c r="K11" s="190">
        <v>0.54741631566115423</v>
      </c>
      <c r="L11" s="121" t="s">
        <v>86</v>
      </c>
      <c r="M11" s="79"/>
      <c r="O11" s="100"/>
    </row>
    <row r="12" spans="1:16" x14ac:dyDescent="0.2">
      <c r="A12" s="95">
        <v>5</v>
      </c>
      <c r="B12" s="95">
        <v>115</v>
      </c>
      <c r="C12" s="7" t="s">
        <v>28</v>
      </c>
      <c r="D12" s="7" t="s">
        <v>81</v>
      </c>
      <c r="E12" s="188">
        <v>31</v>
      </c>
      <c r="F12" s="189">
        <v>31.592580000000002</v>
      </c>
      <c r="G12" s="189">
        <v>3.6660119999999998</v>
      </c>
      <c r="H12" s="189">
        <v>10.98741935483871</v>
      </c>
      <c r="I12" s="189">
        <v>2.4751928783321588</v>
      </c>
      <c r="J12" s="190">
        <v>2.9980017623094399</v>
      </c>
      <c r="K12" s="190">
        <v>0.70504177806748547</v>
      </c>
      <c r="L12" s="121" t="s">
        <v>86</v>
      </c>
      <c r="M12" s="79"/>
      <c r="O12" s="100"/>
    </row>
    <row r="13" spans="1:16" x14ac:dyDescent="0.2">
      <c r="A13" s="95">
        <v>5</v>
      </c>
      <c r="B13" s="95">
        <v>116</v>
      </c>
      <c r="C13" s="7" t="s">
        <v>28</v>
      </c>
      <c r="D13" s="149" t="s">
        <v>87</v>
      </c>
      <c r="E13" s="188">
        <v>31</v>
      </c>
      <c r="F13" s="189">
        <v>27.453230000000001</v>
      </c>
      <c r="G13" s="189">
        <v>4.8880039999999996</v>
      </c>
      <c r="H13" s="189">
        <v>10.453225806451609</v>
      </c>
      <c r="I13" s="189">
        <v>1.310390239831311</v>
      </c>
      <c r="J13" s="190">
        <v>2.6788886594325789</v>
      </c>
      <c r="K13" s="190">
        <v>0.62571686556919404</v>
      </c>
      <c r="L13" s="121" t="s">
        <v>86</v>
      </c>
      <c r="M13" s="79"/>
      <c r="O13" s="100"/>
    </row>
    <row r="14" spans="1:16" x14ac:dyDescent="0.2">
      <c r="A14" s="95">
        <v>6</v>
      </c>
      <c r="B14" s="95">
        <v>117</v>
      </c>
      <c r="C14" s="7" t="s">
        <v>32</v>
      </c>
      <c r="D14" s="7" t="s">
        <v>84</v>
      </c>
      <c r="E14" s="188">
        <v>31</v>
      </c>
      <c r="F14" s="189">
        <v>21.628064516129029</v>
      </c>
      <c r="G14" s="189">
        <v>1.5008962197186031</v>
      </c>
      <c r="H14" s="189">
        <v>10.14</v>
      </c>
      <c r="I14" s="189">
        <v>1.154899707045306</v>
      </c>
      <c r="J14" s="190">
        <v>2.157865337754219</v>
      </c>
      <c r="K14" s="190">
        <v>0.27479536449044722</v>
      </c>
      <c r="L14" s="121" t="s">
        <v>86</v>
      </c>
      <c r="M14" s="79"/>
      <c r="O14" s="100"/>
    </row>
    <row r="15" spans="1:16" x14ac:dyDescent="0.2">
      <c r="A15" s="95">
        <v>6</v>
      </c>
      <c r="B15" s="95">
        <v>118</v>
      </c>
      <c r="C15" s="7" t="s">
        <v>32</v>
      </c>
      <c r="D15" s="7" t="s">
        <v>81</v>
      </c>
      <c r="E15" s="188">
        <v>31</v>
      </c>
      <c r="F15" s="189">
        <v>23.759032258064519</v>
      </c>
      <c r="G15" s="189">
        <v>3.14939396798676</v>
      </c>
      <c r="H15" s="189">
        <v>10.483870967741939</v>
      </c>
      <c r="I15" s="189">
        <v>0.66227223717217099</v>
      </c>
      <c r="J15" s="190">
        <v>2.2732554865237451</v>
      </c>
      <c r="K15" s="190">
        <v>0.32161859472334342</v>
      </c>
      <c r="L15" s="121" t="s">
        <v>86</v>
      </c>
      <c r="M15" s="79"/>
      <c r="O15" s="100"/>
    </row>
    <row r="16" spans="1:16" x14ac:dyDescent="0.2">
      <c r="A16" s="95">
        <v>6</v>
      </c>
      <c r="B16" s="95">
        <v>119</v>
      </c>
      <c r="C16" s="7" t="s">
        <v>32</v>
      </c>
      <c r="D16" s="149" t="s">
        <v>87</v>
      </c>
      <c r="E16" s="191">
        <v>31</v>
      </c>
      <c r="F16" s="189">
        <v>25.185806451612901</v>
      </c>
      <c r="G16" s="189">
        <v>2.0468036450256588</v>
      </c>
      <c r="H16" s="189">
        <v>11.082903225806451</v>
      </c>
      <c r="I16" s="189">
        <v>1.407999037756269</v>
      </c>
      <c r="J16" s="190">
        <v>2.3129261468665421</v>
      </c>
      <c r="K16" s="190">
        <v>0.37062263721816802</v>
      </c>
      <c r="L16" s="121" t="s">
        <v>86</v>
      </c>
      <c r="M16" s="79"/>
      <c r="O16" s="100"/>
    </row>
    <row r="17" spans="1:15" x14ac:dyDescent="0.2">
      <c r="A17" s="95">
        <v>7</v>
      </c>
      <c r="B17" s="95">
        <v>120</v>
      </c>
      <c r="C17" s="7" t="s">
        <v>35</v>
      </c>
      <c r="D17" s="7" t="s">
        <v>84</v>
      </c>
      <c r="E17" s="61">
        <v>16</v>
      </c>
      <c r="F17" s="74">
        <v>18.961874999999999</v>
      </c>
      <c r="G17" s="74">
        <v>3.6705680191672432</v>
      </c>
      <c r="H17" s="74">
        <v>10.11375</v>
      </c>
      <c r="I17" s="74">
        <v>1.039255342380623</v>
      </c>
      <c r="J17" s="77">
        <v>1.8878839987036899</v>
      </c>
      <c r="K17" s="77">
        <v>0.38776154356994841</v>
      </c>
      <c r="L17" s="121" t="s">
        <v>86</v>
      </c>
      <c r="M17" s="79"/>
      <c r="O17" s="100"/>
    </row>
    <row r="18" spans="1:15" x14ac:dyDescent="0.2">
      <c r="A18" s="95">
        <v>7</v>
      </c>
      <c r="B18" s="95">
        <v>121</v>
      </c>
      <c r="C18" s="7" t="s">
        <v>35</v>
      </c>
      <c r="D18" s="7" t="s">
        <v>81</v>
      </c>
      <c r="E18" s="61">
        <v>16</v>
      </c>
      <c r="F18" s="74">
        <v>25.274374999999999</v>
      </c>
      <c r="G18" s="74">
        <v>5.7108025924558099</v>
      </c>
      <c r="H18" s="74">
        <v>12.351875</v>
      </c>
      <c r="I18" s="74">
        <v>1.9259187201610211</v>
      </c>
      <c r="J18" s="77">
        <v>2.0944113831577931</v>
      </c>
      <c r="K18" s="77">
        <v>0.58945597327689625</v>
      </c>
      <c r="L18" s="121" t="s">
        <v>86</v>
      </c>
      <c r="M18" s="79"/>
      <c r="O18" s="100"/>
    </row>
    <row r="19" spans="1:15" x14ac:dyDescent="0.2">
      <c r="A19" s="95">
        <v>7</v>
      </c>
      <c r="B19" s="95">
        <v>122</v>
      </c>
      <c r="C19" s="7" t="s">
        <v>35</v>
      </c>
      <c r="D19" s="149" t="s">
        <v>87</v>
      </c>
      <c r="E19" s="61">
        <v>16</v>
      </c>
      <c r="F19" s="74">
        <v>28.064374999999998</v>
      </c>
      <c r="G19" s="74">
        <v>7.645492762623828</v>
      </c>
      <c r="H19" s="74">
        <v>13.734375</v>
      </c>
      <c r="I19" s="74">
        <v>3.335765716693345</v>
      </c>
      <c r="J19" s="77">
        <v>2.086278470097803</v>
      </c>
      <c r="K19" s="77">
        <v>0.45559777967251402</v>
      </c>
      <c r="L19" s="121" t="s">
        <v>86</v>
      </c>
      <c r="M19" s="79"/>
      <c r="O19" s="100"/>
    </row>
    <row r="20" spans="1:15" x14ac:dyDescent="0.2">
      <c r="A20" s="95">
        <v>8</v>
      </c>
      <c r="B20" s="95">
        <v>123</v>
      </c>
      <c r="C20" s="7" t="s">
        <v>38</v>
      </c>
      <c r="D20" s="7" t="s">
        <v>84</v>
      </c>
      <c r="E20" s="61">
        <v>16</v>
      </c>
      <c r="F20" s="74">
        <v>17.943750000000001</v>
      </c>
      <c r="G20" s="74">
        <v>4.842393175555519</v>
      </c>
      <c r="H20" s="74">
        <v>10.828749999999999</v>
      </c>
      <c r="I20" s="74">
        <v>2.9309449556983038</v>
      </c>
      <c r="J20" s="77">
        <v>1.8059720790794991</v>
      </c>
      <c r="K20" s="77">
        <v>0.94424743591432814</v>
      </c>
      <c r="L20" s="121" t="s">
        <v>86</v>
      </c>
      <c r="M20" s="79"/>
      <c r="O20" s="100"/>
    </row>
    <row r="21" spans="1:15" x14ac:dyDescent="0.2">
      <c r="A21" s="95">
        <v>8</v>
      </c>
      <c r="B21" s="95">
        <v>124</v>
      </c>
      <c r="C21" s="7" t="s">
        <v>38</v>
      </c>
      <c r="D21" s="7" t="s">
        <v>81</v>
      </c>
      <c r="E21" s="61">
        <v>16</v>
      </c>
      <c r="F21" s="74">
        <v>23.188124999999999</v>
      </c>
      <c r="G21" s="74">
        <v>3.9976746886992518</v>
      </c>
      <c r="H21" s="74">
        <v>13.671875</v>
      </c>
      <c r="I21" s="74">
        <v>2.8009908217152968</v>
      </c>
      <c r="J21" s="77">
        <v>1.8324213586455009</v>
      </c>
      <c r="K21" s="77">
        <v>0.80064916684618737</v>
      </c>
      <c r="L21" s="121" t="s">
        <v>86</v>
      </c>
      <c r="M21" s="79"/>
      <c r="O21" s="100"/>
    </row>
    <row r="22" spans="1:15" x14ac:dyDescent="0.2">
      <c r="A22" s="95">
        <v>8</v>
      </c>
      <c r="B22" s="95">
        <v>125</v>
      </c>
      <c r="C22" s="7" t="s">
        <v>38</v>
      </c>
      <c r="D22" s="149" t="s">
        <v>87</v>
      </c>
      <c r="E22" s="61">
        <v>16</v>
      </c>
      <c r="F22" s="74">
        <v>23.920625000000001</v>
      </c>
      <c r="G22" s="74">
        <v>2.5611494001717281</v>
      </c>
      <c r="H22" s="74">
        <v>14.220625</v>
      </c>
      <c r="I22" s="74">
        <v>2.7425984485520298</v>
      </c>
      <c r="J22" s="77">
        <v>1.7624030226068039</v>
      </c>
      <c r="K22" s="77">
        <v>0.48129712811724179</v>
      </c>
      <c r="L22" s="121" t="s">
        <v>86</v>
      </c>
      <c r="M22" s="79"/>
      <c r="O22" s="100"/>
    </row>
    <row r="23" spans="1:15" x14ac:dyDescent="0.2">
      <c r="A23" s="95">
        <v>9</v>
      </c>
      <c r="B23" s="95">
        <v>126</v>
      </c>
      <c r="C23" s="7" t="s">
        <v>40</v>
      </c>
      <c r="D23" s="7" t="s">
        <v>84</v>
      </c>
      <c r="E23" s="61">
        <v>16</v>
      </c>
      <c r="F23" s="74">
        <v>18.962499999999999</v>
      </c>
      <c r="G23" s="74">
        <v>5.2389750906069414</v>
      </c>
      <c r="H23" s="74">
        <v>11.708125000000001</v>
      </c>
      <c r="I23" s="74">
        <v>2.941483115142201</v>
      </c>
      <c r="J23" s="77">
        <v>1.639578483716297</v>
      </c>
      <c r="K23" s="77">
        <v>0.35362045741947229</v>
      </c>
      <c r="L23" s="121" t="s">
        <v>86</v>
      </c>
      <c r="M23" s="79"/>
      <c r="O23" s="100"/>
    </row>
    <row r="24" spans="1:15" x14ac:dyDescent="0.2">
      <c r="A24" s="95">
        <v>9</v>
      </c>
      <c r="B24" s="95">
        <v>127</v>
      </c>
      <c r="C24" s="7" t="s">
        <v>40</v>
      </c>
      <c r="D24" s="7" t="s">
        <v>81</v>
      </c>
      <c r="E24" s="61">
        <v>16</v>
      </c>
      <c r="F24" s="74">
        <v>25.998125000000002</v>
      </c>
      <c r="G24" s="74">
        <v>5.4787276123202187</v>
      </c>
      <c r="H24" s="74">
        <v>11.601875</v>
      </c>
      <c r="I24" s="74">
        <v>2.5780023758716748</v>
      </c>
      <c r="J24" s="77">
        <v>2.3989099946386339</v>
      </c>
      <c r="K24" s="77">
        <v>0.94116482306826565</v>
      </c>
      <c r="L24" s="121" t="s">
        <v>86</v>
      </c>
      <c r="M24" s="79"/>
      <c r="O24" s="100"/>
    </row>
    <row r="25" spans="1:15" x14ac:dyDescent="0.2">
      <c r="A25" s="95">
        <v>9</v>
      </c>
      <c r="B25" s="95">
        <v>128</v>
      </c>
      <c r="C25" s="7" t="s">
        <v>40</v>
      </c>
      <c r="D25" s="149" t="s">
        <v>87</v>
      </c>
      <c r="E25" s="61">
        <v>16</v>
      </c>
      <c r="F25" s="74">
        <v>27.894375</v>
      </c>
      <c r="G25" s="74">
        <v>6.5285158790749156</v>
      </c>
      <c r="H25" s="74">
        <v>13.671250000000001</v>
      </c>
      <c r="I25" s="74">
        <v>2.6455191676997289</v>
      </c>
      <c r="J25" s="77">
        <v>2.1689033935316488</v>
      </c>
      <c r="K25" s="77">
        <v>0.84267521352584718</v>
      </c>
      <c r="L25" s="121" t="s">
        <v>86</v>
      </c>
      <c r="M25" s="79"/>
      <c r="O25" s="100"/>
    </row>
    <row r="26" spans="1:15" x14ac:dyDescent="0.2">
      <c r="A26" s="95">
        <v>10</v>
      </c>
      <c r="B26" s="95">
        <v>129</v>
      </c>
      <c r="C26" s="176" t="s">
        <v>193</v>
      </c>
      <c r="D26" s="176" t="s">
        <v>84</v>
      </c>
      <c r="E26" s="177">
        <v>16</v>
      </c>
      <c r="F26" s="189">
        <v>18.281874999999999</v>
      </c>
      <c r="G26" s="189">
        <v>4.1161700948818911</v>
      </c>
      <c r="H26" s="189">
        <v>14.374375000000001</v>
      </c>
      <c r="I26" s="189">
        <v>5.7076112560334744</v>
      </c>
      <c r="J26" s="190">
        <v>1.4232401188868919</v>
      </c>
      <c r="K26" s="190">
        <v>0.48784811746662199</v>
      </c>
      <c r="L26" s="121" t="s">
        <v>86</v>
      </c>
      <c r="M26" s="79"/>
      <c r="O26" s="100"/>
    </row>
    <row r="27" spans="1:15" x14ac:dyDescent="0.2">
      <c r="A27" s="95">
        <v>10</v>
      </c>
      <c r="B27" s="95">
        <v>130</v>
      </c>
      <c r="C27" s="176" t="s">
        <v>193</v>
      </c>
      <c r="D27" s="176" t="s">
        <v>81</v>
      </c>
      <c r="E27" s="177">
        <v>16</v>
      </c>
      <c r="F27" s="189">
        <v>23.443124999999998</v>
      </c>
      <c r="G27" s="189">
        <v>4.9568050445826488</v>
      </c>
      <c r="H27" s="189">
        <v>15.211874999999999</v>
      </c>
      <c r="I27" s="189">
        <v>3.8675698119103159</v>
      </c>
      <c r="J27" s="190">
        <v>1.659690042386438</v>
      </c>
      <c r="K27" s="190">
        <v>0.63686770183268615</v>
      </c>
      <c r="L27" s="121" t="s">
        <v>86</v>
      </c>
      <c r="M27" s="79"/>
      <c r="O27" s="100"/>
    </row>
    <row r="28" spans="1:15" x14ac:dyDescent="0.2">
      <c r="A28" s="95">
        <v>10</v>
      </c>
      <c r="B28" s="95">
        <v>131</v>
      </c>
      <c r="C28" s="176" t="s">
        <v>193</v>
      </c>
      <c r="D28" s="176" t="s">
        <v>87</v>
      </c>
      <c r="E28" s="177">
        <v>16</v>
      </c>
      <c r="F28" s="189">
        <v>24.62875</v>
      </c>
      <c r="G28" s="189">
        <v>2.73435641422255</v>
      </c>
      <c r="H28" s="189">
        <v>15.183125</v>
      </c>
      <c r="I28" s="189">
        <v>4.1944530334717074</v>
      </c>
      <c r="J28" s="190">
        <v>1.727617727734212</v>
      </c>
      <c r="K28" s="190">
        <v>0.4589849818751468</v>
      </c>
      <c r="L28" s="121" t="s">
        <v>86</v>
      </c>
      <c r="M28" s="79"/>
      <c r="O28" s="100"/>
    </row>
    <row r="29" spans="1:15" x14ac:dyDescent="0.2">
      <c r="A29" s="95">
        <v>11</v>
      </c>
      <c r="B29" s="95">
        <v>132</v>
      </c>
      <c r="C29" s="176" t="s">
        <v>196</v>
      </c>
      <c r="D29" s="176" t="s">
        <v>84</v>
      </c>
      <c r="E29" s="177">
        <v>16</v>
      </c>
      <c r="F29" s="189">
        <v>15.225625000000001</v>
      </c>
      <c r="G29" s="189">
        <v>2.3684311790719188</v>
      </c>
      <c r="H29" s="189">
        <v>12.433125</v>
      </c>
      <c r="I29" s="189">
        <v>3.88750600213899</v>
      </c>
      <c r="J29" s="190">
        <v>1.3122950503877959</v>
      </c>
      <c r="K29" s="190">
        <v>0.36953508974386062</v>
      </c>
      <c r="L29" s="121" t="s">
        <v>86</v>
      </c>
      <c r="M29" s="79"/>
      <c r="O29" s="100"/>
    </row>
    <row r="30" spans="1:15" x14ac:dyDescent="0.2">
      <c r="A30" s="95">
        <v>11</v>
      </c>
      <c r="B30" s="95">
        <v>133</v>
      </c>
      <c r="C30" s="176" t="s">
        <v>196</v>
      </c>
      <c r="D30" s="176" t="s">
        <v>81</v>
      </c>
      <c r="E30" s="177">
        <v>16</v>
      </c>
      <c r="F30" s="189">
        <v>23.736875000000001</v>
      </c>
      <c r="G30" s="189">
        <v>2.5455548674765049</v>
      </c>
      <c r="H30" s="189">
        <v>13.4725</v>
      </c>
      <c r="I30" s="189">
        <v>2.895312303246981</v>
      </c>
      <c r="J30" s="190">
        <v>1.8424422901428901</v>
      </c>
      <c r="K30" s="190">
        <v>0.45260652029852311</v>
      </c>
      <c r="L30" s="121" t="s">
        <v>86</v>
      </c>
      <c r="M30" s="79"/>
      <c r="O30" s="100"/>
    </row>
    <row r="31" spans="1:15" x14ac:dyDescent="0.2">
      <c r="A31" s="95">
        <v>11</v>
      </c>
      <c r="B31" s="95">
        <v>134</v>
      </c>
      <c r="C31" s="176" t="s">
        <v>196</v>
      </c>
      <c r="D31" s="176" t="s">
        <v>87</v>
      </c>
      <c r="E31" s="177">
        <v>16</v>
      </c>
      <c r="F31" s="189">
        <v>24.7</v>
      </c>
      <c r="G31" s="189">
        <v>2.1596079891190119</v>
      </c>
      <c r="H31" s="189">
        <v>13.480625</v>
      </c>
      <c r="I31" s="189">
        <v>2.992767879962182</v>
      </c>
      <c r="J31" s="190">
        <v>1.9443756436940189</v>
      </c>
      <c r="K31" s="190">
        <v>0.60220141821503004</v>
      </c>
      <c r="L31" s="121" t="s">
        <v>86</v>
      </c>
      <c r="M31" s="79"/>
      <c r="O31" s="100"/>
    </row>
    <row r="32" spans="1:15" x14ac:dyDescent="0.2">
      <c r="A32" s="95">
        <v>4</v>
      </c>
      <c r="B32" s="95">
        <v>135</v>
      </c>
      <c r="C32" s="7" t="s">
        <v>26</v>
      </c>
      <c r="D32" s="7" t="s">
        <v>84</v>
      </c>
      <c r="E32" s="61">
        <v>3</v>
      </c>
      <c r="F32" s="74">
        <v>2.4175</v>
      </c>
      <c r="G32" s="74">
        <v>0.30479957891828641</v>
      </c>
      <c r="H32" s="74">
        <v>2.5674999999999999</v>
      </c>
      <c r="I32" s="74">
        <v>0.30479957891828618</v>
      </c>
      <c r="J32" s="75">
        <f t="shared" ref="J32:J53" si="0">F32/H32</f>
        <v>0.94157740993184036</v>
      </c>
      <c r="K32" s="76">
        <f>SQRT((G32/H32)^2+(((F32*I32)/H32^2)^2)-2*$P$2*(F32*G32*I32/(H32^3)))</f>
        <v>0.1154031482522572</v>
      </c>
      <c r="L32" s="105" t="s">
        <v>192</v>
      </c>
    </row>
    <row r="33" spans="1:15" x14ac:dyDescent="0.2">
      <c r="A33" s="95">
        <v>4</v>
      </c>
      <c r="B33" s="95">
        <v>136</v>
      </c>
      <c r="C33" s="7" t="s">
        <v>26</v>
      </c>
      <c r="D33" s="7" t="s">
        <v>81</v>
      </c>
      <c r="E33" s="61">
        <v>3</v>
      </c>
      <c r="F33" s="74">
        <v>1.8774999999999999</v>
      </c>
      <c r="G33" s="74">
        <v>7.4762160866749403E-2</v>
      </c>
      <c r="H33" s="74">
        <v>0.83250000000000002</v>
      </c>
      <c r="I33" s="74">
        <v>9.776590267190316E-2</v>
      </c>
      <c r="J33" s="75">
        <f>F33/H33</f>
        <v>2.2552552552552552</v>
      </c>
      <c r="K33" s="76">
        <f t="shared" ref="K33:K39" si="1">SQRT((G33/H33)^2+(((F33*I33)/H33^2)^2)-2*$P$2*(F33*G33*I33/(H33^3)))</f>
        <v>0.23329243911364275</v>
      </c>
      <c r="L33" s="105" t="s">
        <v>192</v>
      </c>
    </row>
    <row r="34" spans="1:15" x14ac:dyDescent="0.2">
      <c r="A34" s="95">
        <v>4</v>
      </c>
      <c r="B34" s="95">
        <v>137</v>
      </c>
      <c r="C34" s="7" t="s">
        <v>26</v>
      </c>
      <c r="D34" s="149" t="s">
        <v>87</v>
      </c>
      <c r="E34" s="61">
        <v>3</v>
      </c>
      <c r="F34" s="74">
        <v>5.8175000000000008</v>
      </c>
      <c r="G34" s="74">
        <v>9.7765902671903104E-2</v>
      </c>
      <c r="H34" s="74">
        <v>0.59</v>
      </c>
      <c r="I34" s="74">
        <v>6.9011225415461036E-2</v>
      </c>
      <c r="J34" s="75">
        <f t="shared" si="0"/>
        <v>9.8601694915254257</v>
      </c>
      <c r="K34" s="76">
        <f t="shared" si="1"/>
        <v>1.0800496902579981</v>
      </c>
      <c r="L34" s="105" t="s">
        <v>192</v>
      </c>
    </row>
    <row r="35" spans="1:15" x14ac:dyDescent="0.2">
      <c r="A35" s="95">
        <v>12</v>
      </c>
      <c r="B35" s="95">
        <v>138</v>
      </c>
      <c r="C35" s="7" t="s">
        <v>42</v>
      </c>
      <c r="D35" s="7" t="s">
        <v>84</v>
      </c>
      <c r="E35" s="61">
        <v>9</v>
      </c>
      <c r="F35" s="74">
        <v>11.896666666666667</v>
      </c>
      <c r="G35" s="74">
        <v>5.48424458155477</v>
      </c>
      <c r="H35" s="74">
        <v>1.4066666666666665</v>
      </c>
      <c r="I35" s="74">
        <v>0.41109967357747079</v>
      </c>
      <c r="J35" s="75">
        <f t="shared" si="0"/>
        <v>8.4573459715639814</v>
      </c>
      <c r="K35" s="76">
        <f t="shared" si="1"/>
        <v>3.416575636237897</v>
      </c>
      <c r="L35" s="105" t="s">
        <v>192</v>
      </c>
    </row>
    <row r="36" spans="1:15" x14ac:dyDescent="0.2">
      <c r="A36" s="95">
        <v>12</v>
      </c>
      <c r="B36" s="95">
        <v>139</v>
      </c>
      <c r="C36" s="7" t="s">
        <v>42</v>
      </c>
      <c r="D36" s="7" t="s">
        <v>81</v>
      </c>
      <c r="E36" s="61">
        <v>9</v>
      </c>
      <c r="F36" s="74">
        <v>6.1400000000000006</v>
      </c>
      <c r="G36" s="74">
        <v>2.3966236289410006</v>
      </c>
      <c r="H36" s="74">
        <v>1.4766666666666666</v>
      </c>
      <c r="I36" s="74">
        <v>0.46358048297033949</v>
      </c>
      <c r="J36" s="75">
        <f t="shared" si="0"/>
        <v>4.1580135440180594</v>
      </c>
      <c r="K36" s="76">
        <f t="shared" si="1"/>
        <v>1.4897922487242736</v>
      </c>
      <c r="L36" s="105" t="s">
        <v>192</v>
      </c>
    </row>
    <row r="37" spans="1:15" x14ac:dyDescent="0.2">
      <c r="A37" s="95">
        <v>12</v>
      </c>
      <c r="B37" s="95">
        <v>140</v>
      </c>
      <c r="C37" s="7" t="s">
        <v>42</v>
      </c>
      <c r="D37" s="7" t="s">
        <v>83</v>
      </c>
      <c r="E37" s="61">
        <v>9</v>
      </c>
      <c r="F37" s="74">
        <v>5.23</v>
      </c>
      <c r="G37" s="74">
        <v>0.69099732367277011</v>
      </c>
      <c r="H37" s="74">
        <v>1.43</v>
      </c>
      <c r="I37" s="74">
        <v>0.97089497376806955</v>
      </c>
      <c r="J37" s="75">
        <f t="shared" si="0"/>
        <v>3.657342657342658</v>
      </c>
      <c r="K37" s="76">
        <f t="shared" si="1"/>
        <v>2.280264803552865</v>
      </c>
      <c r="L37" s="105" t="s">
        <v>192</v>
      </c>
    </row>
    <row r="38" spans="1:15" x14ac:dyDescent="0.2">
      <c r="A38" s="95">
        <v>12</v>
      </c>
      <c r="B38" s="95">
        <v>141</v>
      </c>
      <c r="C38" s="7" t="s">
        <v>42</v>
      </c>
      <c r="D38" s="149" t="s">
        <v>87</v>
      </c>
      <c r="E38" s="61">
        <v>9</v>
      </c>
      <c r="F38" s="74">
        <v>9.41</v>
      </c>
      <c r="G38" s="74">
        <v>4.1197435373401872</v>
      </c>
      <c r="H38" s="74">
        <v>1.7866666666666664</v>
      </c>
      <c r="I38" s="74">
        <v>1.2945266316907591</v>
      </c>
      <c r="J38" s="75">
        <f t="shared" si="0"/>
        <v>5.2667910447761201</v>
      </c>
      <c r="K38" s="76">
        <f t="shared" si="1"/>
        <v>3.3286484172160478</v>
      </c>
      <c r="L38" s="105" t="s">
        <v>192</v>
      </c>
      <c r="O38" s="100"/>
    </row>
    <row r="39" spans="1:15" x14ac:dyDescent="0.2">
      <c r="A39" s="95">
        <v>13</v>
      </c>
      <c r="B39" s="95">
        <v>142</v>
      </c>
      <c r="C39" s="7" t="s">
        <v>47</v>
      </c>
      <c r="D39" s="7" t="s">
        <v>84</v>
      </c>
      <c r="E39" s="61">
        <v>18</v>
      </c>
      <c r="F39" s="74">
        <v>1109</v>
      </c>
      <c r="G39" s="74">
        <v>379</v>
      </c>
      <c r="H39" s="74">
        <v>651</v>
      </c>
      <c r="I39" s="74">
        <v>143</v>
      </c>
      <c r="J39" s="75">
        <f t="shared" si="0"/>
        <v>1.7035330261136712</v>
      </c>
      <c r="K39" s="76">
        <f t="shared" si="1"/>
        <v>0.5109879576106483</v>
      </c>
      <c r="L39" s="105" t="s">
        <v>192</v>
      </c>
      <c r="O39" s="100"/>
    </row>
    <row r="40" spans="1:15" x14ac:dyDescent="0.2">
      <c r="A40" s="95">
        <v>13</v>
      </c>
      <c r="B40" s="95">
        <v>143</v>
      </c>
      <c r="C40" s="7" t="s">
        <v>47</v>
      </c>
      <c r="D40" s="7" t="s">
        <v>81</v>
      </c>
      <c r="E40" s="61">
        <v>18</v>
      </c>
      <c r="F40" s="74">
        <v>1005</v>
      </c>
      <c r="G40" s="74">
        <v>337</v>
      </c>
      <c r="H40" s="74">
        <v>808</v>
      </c>
      <c r="I40" s="74">
        <v>194</v>
      </c>
      <c r="J40" s="75">
        <f t="shared" si="0"/>
        <v>1.2438118811881189</v>
      </c>
      <c r="K40" s="76">
        <f>SQRT((G40/H40)^2+(((F40*I40)/H40^2)^2)-2*$P$2*(F40*G40*I40/(H40^3)))</f>
        <v>0.37226874760146228</v>
      </c>
      <c r="L40" s="105" t="s">
        <v>192</v>
      </c>
      <c r="O40" s="100"/>
    </row>
    <row r="41" spans="1:15" x14ac:dyDescent="0.2">
      <c r="A41" s="95">
        <v>14</v>
      </c>
      <c r="B41" s="95">
        <v>144</v>
      </c>
      <c r="C41" s="176" t="s">
        <v>197</v>
      </c>
      <c r="D41" s="176" t="s">
        <v>84</v>
      </c>
      <c r="E41" s="177">
        <v>7</v>
      </c>
      <c r="F41" s="72">
        <v>0.12</v>
      </c>
      <c r="G41" s="72">
        <v>5.2915026221291815E-2</v>
      </c>
      <c r="H41" s="72">
        <v>0.05</v>
      </c>
      <c r="I41" s="72">
        <v>5.2915026221291815E-2</v>
      </c>
      <c r="J41" s="75">
        <f t="shared" si="0"/>
        <v>2.4</v>
      </c>
      <c r="K41" s="76">
        <f t="shared" ref="K41:K52" si="2">SQRT((G41/H41)^2+(((F41*I41)/H41^2)^2)-2*$P$2*(F41*G41*I41/(H41^3)))</f>
        <v>2.2097963707093009</v>
      </c>
      <c r="L41" s="105" t="s">
        <v>192</v>
      </c>
    </row>
    <row r="42" spans="1:15" x14ac:dyDescent="0.2">
      <c r="A42" s="95">
        <v>14</v>
      </c>
      <c r="B42" s="95">
        <v>145</v>
      </c>
      <c r="C42" s="176" t="s">
        <v>197</v>
      </c>
      <c r="D42" s="176" t="s">
        <v>81</v>
      </c>
      <c r="E42" s="177">
        <v>7</v>
      </c>
      <c r="F42" s="72">
        <v>0.15</v>
      </c>
      <c r="G42" s="72">
        <v>7.9372539331937719E-2</v>
      </c>
      <c r="H42" s="72">
        <v>0.06</v>
      </c>
      <c r="I42" s="72">
        <v>7.9372539331937719E-2</v>
      </c>
      <c r="J42" s="75">
        <f t="shared" si="0"/>
        <v>2.5</v>
      </c>
      <c r="K42" s="76">
        <f t="shared" si="2"/>
        <v>2.8831406486676991</v>
      </c>
      <c r="L42" s="105" t="s">
        <v>192</v>
      </c>
    </row>
    <row r="43" spans="1:15" x14ac:dyDescent="0.2">
      <c r="A43" s="95">
        <v>14</v>
      </c>
      <c r="B43" s="95">
        <v>146</v>
      </c>
      <c r="C43" s="176" t="s">
        <v>197</v>
      </c>
      <c r="D43" s="176" t="s">
        <v>83</v>
      </c>
      <c r="E43" s="177">
        <v>7</v>
      </c>
      <c r="F43" s="72">
        <v>0.08</v>
      </c>
      <c r="G43" s="72">
        <v>5.2915026221291815E-2</v>
      </c>
      <c r="H43" s="72">
        <v>0.05</v>
      </c>
      <c r="I43" s="72">
        <v>5.2915026221291815E-2</v>
      </c>
      <c r="J43" s="75">
        <f t="shared" si="0"/>
        <v>1.5999999999999999</v>
      </c>
      <c r="K43" s="76">
        <f t="shared" si="2"/>
        <v>1.4816207341961707</v>
      </c>
      <c r="L43" s="105" t="s">
        <v>192</v>
      </c>
    </row>
    <row r="44" spans="1:15" x14ac:dyDescent="0.2">
      <c r="A44" s="95">
        <v>14</v>
      </c>
      <c r="B44" s="95">
        <v>147</v>
      </c>
      <c r="C44" s="176" t="s">
        <v>198</v>
      </c>
      <c r="D44" s="176" t="s">
        <v>84</v>
      </c>
      <c r="E44" s="177">
        <v>7</v>
      </c>
      <c r="F44" s="72">
        <v>0.12</v>
      </c>
      <c r="G44" s="72">
        <v>7.9372539331937719E-2</v>
      </c>
      <c r="H44" s="72">
        <v>0.05</v>
      </c>
      <c r="I44" s="72">
        <v>5.2915026221291815E-2</v>
      </c>
      <c r="J44" s="75">
        <f t="shared" si="0"/>
        <v>2.4</v>
      </c>
      <c r="K44" s="76">
        <f t="shared" si="2"/>
        <v>2.2224311012942559</v>
      </c>
      <c r="L44" s="105" t="s">
        <v>192</v>
      </c>
    </row>
    <row r="45" spans="1:15" x14ac:dyDescent="0.2">
      <c r="A45" s="95">
        <v>14</v>
      </c>
      <c r="B45" s="95">
        <v>148</v>
      </c>
      <c r="C45" s="176" t="s">
        <v>198</v>
      </c>
      <c r="D45" s="176" t="s">
        <v>81</v>
      </c>
      <c r="E45" s="177">
        <v>7</v>
      </c>
      <c r="F45" s="72">
        <v>0.13</v>
      </c>
      <c r="G45" s="72">
        <v>0.10583005244258363</v>
      </c>
      <c r="H45" s="72">
        <v>0.05</v>
      </c>
      <c r="I45" s="72">
        <v>5.2915026221291815E-2</v>
      </c>
      <c r="J45" s="75">
        <f t="shared" si="0"/>
        <v>2.6</v>
      </c>
      <c r="K45" s="76">
        <f t="shared" si="2"/>
        <v>2.4954358336771549</v>
      </c>
      <c r="L45" s="105" t="s">
        <v>192</v>
      </c>
    </row>
    <row r="46" spans="1:15" x14ac:dyDescent="0.2">
      <c r="A46" s="95">
        <v>14</v>
      </c>
      <c r="B46" s="95">
        <v>149</v>
      </c>
      <c r="C46" s="176" t="s">
        <v>198</v>
      </c>
      <c r="D46" s="176" t="s">
        <v>83</v>
      </c>
      <c r="E46" s="177">
        <v>7</v>
      </c>
      <c r="F46" s="72">
        <v>0.12</v>
      </c>
      <c r="G46" s="72">
        <v>7.9372539331937719E-2</v>
      </c>
      <c r="H46" s="72">
        <v>0.05</v>
      </c>
      <c r="I46" s="72">
        <v>2.6457513110645908E-2</v>
      </c>
      <c r="J46" s="75">
        <f t="shared" si="0"/>
        <v>2.4</v>
      </c>
      <c r="K46" s="76">
        <f t="shared" si="2"/>
        <v>1.4549226783578568</v>
      </c>
      <c r="L46" s="105" t="s">
        <v>192</v>
      </c>
    </row>
    <row r="47" spans="1:15" x14ac:dyDescent="0.2">
      <c r="A47" s="95">
        <v>14</v>
      </c>
      <c r="B47" s="95">
        <v>150</v>
      </c>
      <c r="C47" s="176" t="s">
        <v>199</v>
      </c>
      <c r="D47" s="176" t="s">
        <v>84</v>
      </c>
      <c r="E47" s="177">
        <v>7</v>
      </c>
      <c r="F47" s="72">
        <v>0.11</v>
      </c>
      <c r="G47" s="72">
        <v>2.6457513110645908E-2</v>
      </c>
      <c r="H47" s="72">
        <v>0.03</v>
      </c>
      <c r="I47" s="72">
        <v>2.6457513110645908E-2</v>
      </c>
      <c r="J47" s="75">
        <f t="shared" si="0"/>
        <v>3.666666666666667</v>
      </c>
      <c r="K47" s="76">
        <f t="shared" si="2"/>
        <v>2.8952920490656413</v>
      </c>
      <c r="L47" s="105" t="s">
        <v>192</v>
      </c>
    </row>
    <row r="48" spans="1:15" x14ac:dyDescent="0.2">
      <c r="A48" s="95">
        <v>14</v>
      </c>
      <c r="B48" s="95">
        <v>151</v>
      </c>
      <c r="C48" s="176" t="s">
        <v>199</v>
      </c>
      <c r="D48" s="176" t="s">
        <v>81</v>
      </c>
      <c r="E48" s="177">
        <v>7</v>
      </c>
      <c r="F48" s="72">
        <v>0.12</v>
      </c>
      <c r="G48" s="72">
        <v>7.9372539331937719E-2</v>
      </c>
      <c r="H48" s="72">
        <v>0.04</v>
      </c>
      <c r="I48" s="72">
        <v>2.6457513110645908E-2</v>
      </c>
      <c r="J48" s="75">
        <f t="shared" si="0"/>
        <v>3</v>
      </c>
      <c r="K48" s="76">
        <f t="shared" si="2"/>
        <v>1.984313483298443</v>
      </c>
      <c r="L48" s="105" t="s">
        <v>192</v>
      </c>
    </row>
    <row r="49" spans="1:12" x14ac:dyDescent="0.2">
      <c r="A49" s="95">
        <v>14</v>
      </c>
      <c r="B49" s="95">
        <v>152</v>
      </c>
      <c r="C49" s="176" t="s">
        <v>199</v>
      </c>
      <c r="D49" s="176" t="s">
        <v>83</v>
      </c>
      <c r="E49" s="177">
        <v>7</v>
      </c>
      <c r="F49" s="72">
        <v>0.11</v>
      </c>
      <c r="G49" s="72">
        <v>5.2915026221291815E-2</v>
      </c>
      <c r="H49" s="72">
        <v>0.04</v>
      </c>
      <c r="I49" s="72">
        <v>2.6457513110645908E-2</v>
      </c>
      <c r="J49" s="75">
        <f t="shared" si="0"/>
        <v>2.75</v>
      </c>
      <c r="K49" s="76">
        <f t="shared" si="2"/>
        <v>1.628601777599423</v>
      </c>
      <c r="L49" s="105" t="s">
        <v>192</v>
      </c>
    </row>
    <row r="50" spans="1:12" x14ac:dyDescent="0.2">
      <c r="A50" s="95">
        <v>17</v>
      </c>
      <c r="B50" s="95">
        <v>153</v>
      </c>
      <c r="C50" s="176" t="s">
        <v>200</v>
      </c>
      <c r="D50" s="176" t="s">
        <v>84</v>
      </c>
      <c r="E50" s="177">
        <v>16</v>
      </c>
      <c r="F50" s="72">
        <v>0.05</v>
      </c>
      <c r="G50" s="72">
        <v>0.01</v>
      </c>
      <c r="H50" s="72">
        <v>0.08</v>
      </c>
      <c r="I50" s="72">
        <v>0.01</v>
      </c>
      <c r="J50" s="75">
        <f t="shared" si="0"/>
        <v>0.625</v>
      </c>
      <c r="K50" s="76">
        <f t="shared" si="2"/>
        <v>0.109375</v>
      </c>
      <c r="L50" s="105" t="s">
        <v>192</v>
      </c>
    </row>
    <row r="51" spans="1:12" x14ac:dyDescent="0.2">
      <c r="A51" s="95">
        <v>17</v>
      </c>
      <c r="B51" s="95">
        <v>154</v>
      </c>
      <c r="C51" s="176" t="s">
        <v>200</v>
      </c>
      <c r="D51" s="176" t="s">
        <v>81</v>
      </c>
      <c r="E51" s="177">
        <v>16</v>
      </c>
      <c r="F51" s="72">
        <v>0.06</v>
      </c>
      <c r="G51" s="72">
        <v>0.01</v>
      </c>
      <c r="H51" s="72">
        <v>0.1</v>
      </c>
      <c r="I51" s="72">
        <v>0.02</v>
      </c>
      <c r="J51" s="75">
        <f t="shared" si="0"/>
        <v>0.6</v>
      </c>
      <c r="K51" s="76">
        <f t="shared" si="2"/>
        <v>0.11135528725660042</v>
      </c>
      <c r="L51" s="105" t="s">
        <v>192</v>
      </c>
    </row>
    <row r="52" spans="1:12" x14ac:dyDescent="0.2">
      <c r="A52" s="95">
        <v>18</v>
      </c>
      <c r="B52" s="95">
        <v>155</v>
      </c>
      <c r="C52" s="176" t="s">
        <v>201</v>
      </c>
      <c r="D52" s="176" t="s">
        <v>84</v>
      </c>
      <c r="E52" s="177">
        <v>10</v>
      </c>
      <c r="F52" s="72">
        <v>0.03</v>
      </c>
      <c r="G52" s="72">
        <v>0.01</v>
      </c>
      <c r="H52" s="72">
        <v>0.05</v>
      </c>
      <c r="I52" s="72">
        <v>0.01</v>
      </c>
      <c r="J52" s="75">
        <f t="shared" si="0"/>
        <v>0.6</v>
      </c>
      <c r="K52" s="76">
        <f t="shared" si="2"/>
        <v>0.17435595774162693</v>
      </c>
      <c r="L52" s="105" t="s">
        <v>192</v>
      </c>
    </row>
    <row r="53" spans="1:12" x14ac:dyDescent="0.2">
      <c r="A53" s="95">
        <v>18</v>
      </c>
      <c r="B53" s="95">
        <v>156</v>
      </c>
      <c r="C53" s="176" t="s">
        <v>201</v>
      </c>
      <c r="D53" s="176" t="s">
        <v>81</v>
      </c>
      <c r="E53" s="177">
        <v>10</v>
      </c>
      <c r="F53" s="72">
        <v>0.06</v>
      </c>
      <c r="G53" s="72">
        <v>0.02</v>
      </c>
      <c r="H53" s="72">
        <v>7.0000000000000007E-2</v>
      </c>
      <c r="I53" s="72">
        <v>0.01</v>
      </c>
      <c r="J53" s="75">
        <f t="shared" si="0"/>
        <v>0.85714285714285698</v>
      </c>
      <c r="K53" s="76">
        <f>SQRT((G53/H53)^2+(((F53*I53)/H53^2)^2)-2*$P$2*(F53*G53*I53/(H53^3)))</f>
        <v>0.24827602164482529</v>
      </c>
      <c r="L53" s="105" t="s">
        <v>192</v>
      </c>
    </row>
  </sheetData>
  <phoneticPr fontId="3" type="noConversion"/>
  <conditionalFormatting sqref="O2:O31 O38:O4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D9FC-5212-4969-80A1-75EE764B29F1}">
  <sheetPr>
    <tabColor theme="9"/>
  </sheetPr>
  <dimension ref="A1:V21"/>
  <sheetViews>
    <sheetView topLeftCell="H1" zoomScale="125" workbookViewId="0">
      <selection activeCell="T10" sqref="T10"/>
    </sheetView>
  </sheetViews>
  <sheetFormatPr baseColWidth="10" defaultColWidth="11.5" defaultRowHeight="15" x14ac:dyDescent="0.2"/>
  <cols>
    <col min="1" max="1" width="29.5" bestFit="1" customWidth="1"/>
    <col min="2" max="2" width="9.6640625" customWidth="1"/>
    <col min="3" max="3" width="26.33203125" customWidth="1"/>
    <col min="4" max="4" width="29.5" bestFit="1" customWidth="1"/>
    <col min="7" max="7" width="30.5" bestFit="1" customWidth="1"/>
    <col min="9" max="9" width="16.1640625" customWidth="1"/>
    <col min="11" max="11" width="20.5" customWidth="1"/>
    <col min="12" max="12" width="46.33203125" bestFit="1" customWidth="1"/>
    <col min="24" max="24" width="27.83203125" bestFit="1" customWidth="1"/>
  </cols>
  <sheetData>
    <row r="1" spans="1:22" ht="24" x14ac:dyDescent="0.3">
      <c r="A1" s="18" t="s">
        <v>122</v>
      </c>
      <c r="B1" s="155"/>
      <c r="C1" s="148"/>
    </row>
    <row r="2" spans="1:22" s="35" customFormat="1" ht="17" x14ac:dyDescent="0.25">
      <c r="A2" s="27" t="s">
        <v>123</v>
      </c>
      <c r="B2" s="28" t="s">
        <v>124</v>
      </c>
      <c r="C2" s="29" t="s">
        <v>125</v>
      </c>
      <c r="D2" s="28" t="s">
        <v>126</v>
      </c>
      <c r="E2" s="27" t="s">
        <v>127</v>
      </c>
      <c r="F2" s="27" t="s">
        <v>128</v>
      </c>
      <c r="G2" s="28" t="s">
        <v>129</v>
      </c>
      <c r="H2" s="27" t="s">
        <v>130</v>
      </c>
      <c r="I2" s="27" t="s">
        <v>131</v>
      </c>
      <c r="J2" s="27" t="s">
        <v>3</v>
      </c>
      <c r="K2" s="27" t="s">
        <v>132</v>
      </c>
      <c r="L2" s="30" t="s">
        <v>133</v>
      </c>
      <c r="M2" s="31" t="s">
        <v>134</v>
      </c>
      <c r="N2" s="32" t="s">
        <v>135</v>
      </c>
      <c r="O2" s="31" t="s">
        <v>136</v>
      </c>
      <c r="P2" s="33" t="s">
        <v>137</v>
      </c>
      <c r="Q2" s="31" t="s">
        <v>138</v>
      </c>
      <c r="R2" s="34" t="s">
        <v>139</v>
      </c>
      <c r="T2" s="36" t="s">
        <v>140</v>
      </c>
      <c r="U2" s="37" t="s">
        <v>141</v>
      </c>
      <c r="V2" s="38" t="s">
        <v>142</v>
      </c>
    </row>
    <row r="3" spans="1:22" ht="16" x14ac:dyDescent="0.2">
      <c r="A3" s="19" t="s">
        <v>143</v>
      </c>
      <c r="B3" s="20" t="s">
        <v>144</v>
      </c>
      <c r="C3" s="20"/>
      <c r="D3" s="239" t="s">
        <v>145</v>
      </c>
      <c r="E3" s="240"/>
      <c r="F3" s="241"/>
      <c r="G3" s="242" t="s">
        <v>146</v>
      </c>
      <c r="H3" s="243"/>
      <c r="I3" s="244"/>
      <c r="J3" s="54"/>
      <c r="K3" s="40" t="s">
        <v>147</v>
      </c>
      <c r="L3" s="41"/>
      <c r="M3" s="39"/>
      <c r="N3" s="21" t="s">
        <v>148</v>
      </c>
      <c r="O3" s="42" t="s">
        <v>149</v>
      </c>
      <c r="P3" s="23" t="s">
        <v>150</v>
      </c>
      <c r="Q3" s="42" t="s">
        <v>151</v>
      </c>
      <c r="R3" s="21" t="s">
        <v>152</v>
      </c>
      <c r="T3" s="22" t="s">
        <v>153</v>
      </c>
      <c r="U3" s="23" t="s">
        <v>154</v>
      </c>
      <c r="V3" s="24" t="s">
        <v>155</v>
      </c>
    </row>
    <row r="4" spans="1:22" ht="17" x14ac:dyDescent="0.25">
      <c r="A4" s="43" t="s">
        <v>200</v>
      </c>
      <c r="B4" s="152" t="s">
        <v>80</v>
      </c>
      <c r="C4" s="50" t="s">
        <v>156</v>
      </c>
      <c r="D4" t="s">
        <v>258</v>
      </c>
      <c r="E4" s="53">
        <v>0.05</v>
      </c>
      <c r="F4" s="53">
        <v>0.01</v>
      </c>
      <c r="G4" t="s">
        <v>259</v>
      </c>
      <c r="H4" s="53">
        <v>0.06</v>
      </c>
      <c r="I4" s="53">
        <v>0.01</v>
      </c>
      <c r="J4" s="25">
        <v>16</v>
      </c>
      <c r="K4" s="26">
        <f t="shared" ref="K4:K21" si="0">H4-E4</f>
        <v>9.999999999999995E-3</v>
      </c>
      <c r="L4" s="44" t="s">
        <v>159</v>
      </c>
      <c r="M4">
        <v>0.5</v>
      </c>
      <c r="N4" s="45">
        <f>1-(3/(4*(J4-1)-1))</f>
        <v>0.94915254237288138</v>
      </c>
      <c r="O4" s="51">
        <f t="shared" ref="O4:O13" si="1">SQRT((F4^2+I4^2-2*M4*F4*I4))</f>
        <v>0.01</v>
      </c>
      <c r="P4" s="52">
        <f>O4/SQRT(2*(1-M4))</f>
        <v>0.01</v>
      </c>
      <c r="Q4" s="26">
        <f>K4/P4</f>
        <v>0.99999999999999944</v>
      </c>
      <c r="R4" s="46">
        <f>((1/J4)+(Q4^2/(2*J4)))*2*(1-M4)</f>
        <v>9.3749999999999972E-2</v>
      </c>
      <c r="T4" s="47">
        <f>Q4*N4</f>
        <v>0.94915254237288083</v>
      </c>
      <c r="U4" s="48">
        <f>N4^2*R4</f>
        <v>8.4458488939959761E-2</v>
      </c>
      <c r="V4" s="49">
        <f>SQRT(U4)</f>
        <v>0.29061742710986854</v>
      </c>
    </row>
    <row r="5" spans="1:22" ht="17" x14ac:dyDescent="0.25">
      <c r="A5" t="s">
        <v>201</v>
      </c>
      <c r="B5" s="152" t="s">
        <v>80</v>
      </c>
      <c r="C5" s="50" t="s">
        <v>156</v>
      </c>
      <c r="D5" t="s">
        <v>260</v>
      </c>
      <c r="E5" s="55">
        <v>0.03</v>
      </c>
      <c r="F5" s="55">
        <v>0.01</v>
      </c>
      <c r="G5" t="s">
        <v>261</v>
      </c>
      <c r="H5" s="55">
        <v>0.06</v>
      </c>
      <c r="I5" s="55">
        <v>0.02</v>
      </c>
      <c r="J5" s="25">
        <v>10</v>
      </c>
      <c r="K5" s="26">
        <f t="shared" si="0"/>
        <v>0.03</v>
      </c>
      <c r="L5" s="44" t="s">
        <v>159</v>
      </c>
      <c r="M5">
        <v>0.5</v>
      </c>
      <c r="N5" s="45">
        <f t="shared" ref="N5:N21" si="2">1-(3/(4*(J5-1)-1))</f>
        <v>0.91428571428571426</v>
      </c>
      <c r="O5" s="51">
        <f t="shared" si="1"/>
        <v>1.7320508075688773E-2</v>
      </c>
      <c r="P5" s="52">
        <f t="shared" ref="P5:P13" si="3">O5/SQRT(2*(1-M5))</f>
        <v>1.7320508075688773E-2</v>
      </c>
      <c r="Q5" s="26">
        <f t="shared" ref="Q5:Q13" si="4">K5/P5</f>
        <v>1.7320508075688772</v>
      </c>
      <c r="R5" s="46">
        <f t="shared" ref="R5:R13" si="5">((1/J5)+(Q5^2/(2*J5)))*2*(1-M5)</f>
        <v>0.24999999999999997</v>
      </c>
      <c r="T5" s="145">
        <f t="shared" ref="T5:T21" si="6">Q5*N5</f>
        <v>1.5835893097772591</v>
      </c>
      <c r="U5" s="48">
        <f t="shared" ref="U5:U21" si="7">N5^2*R5</f>
        <v>0.20897959183673465</v>
      </c>
      <c r="V5" s="49">
        <f t="shared" ref="V5:V21" si="8">SQRT(U5)</f>
        <v>0.45714285714285707</v>
      </c>
    </row>
    <row r="6" spans="1:22" ht="17" x14ac:dyDescent="0.25">
      <c r="A6" t="s">
        <v>12</v>
      </c>
      <c r="B6" s="152" t="s">
        <v>80</v>
      </c>
      <c r="C6" s="50" t="s">
        <v>156</v>
      </c>
      <c r="D6" t="s">
        <v>157</v>
      </c>
      <c r="E6" s="156">
        <v>9.5566666666666666</v>
      </c>
      <c r="F6" s="156">
        <v>5.6949604832969358</v>
      </c>
      <c r="G6" t="s">
        <v>158</v>
      </c>
      <c r="H6" s="156">
        <v>14.12666666666667</v>
      </c>
      <c r="I6" s="156">
        <v>7.6606403920478154</v>
      </c>
      <c r="J6" s="157">
        <v>7</v>
      </c>
      <c r="K6" s="26">
        <f t="shared" si="0"/>
        <v>4.5700000000000038</v>
      </c>
      <c r="L6" s="44" t="s">
        <v>159</v>
      </c>
      <c r="M6">
        <v>0.5</v>
      </c>
      <c r="N6" s="45">
        <f t="shared" si="2"/>
        <v>0.86956521739130432</v>
      </c>
      <c r="O6" s="51">
        <f t="shared" si="1"/>
        <v>6.8913671947682138</v>
      </c>
      <c r="P6" s="52">
        <f t="shared" si="3"/>
        <v>6.8913671947682138</v>
      </c>
      <c r="Q6" s="26">
        <f t="shared" si="4"/>
        <v>0.66314852638667332</v>
      </c>
      <c r="R6" s="46">
        <f t="shared" si="5"/>
        <v>0.1742689977177726</v>
      </c>
      <c r="T6" s="145">
        <f t="shared" si="6"/>
        <v>0.57665089251015067</v>
      </c>
      <c r="U6" s="48">
        <f t="shared" si="7"/>
        <v>0.13177239903045188</v>
      </c>
      <c r="V6" s="49">
        <f t="shared" si="8"/>
        <v>0.36300468182993434</v>
      </c>
    </row>
    <row r="7" spans="1:22" ht="17" x14ac:dyDescent="0.25">
      <c r="A7" t="s">
        <v>228</v>
      </c>
      <c r="B7" s="152" t="s">
        <v>80</v>
      </c>
      <c r="C7" s="50" t="s">
        <v>156</v>
      </c>
      <c r="D7" t="s">
        <v>168</v>
      </c>
      <c r="E7" s="156">
        <v>23.9</v>
      </c>
      <c r="F7" s="156">
        <v>3.14</v>
      </c>
      <c r="G7" t="s">
        <v>169</v>
      </c>
      <c r="H7" s="156">
        <v>31.65</v>
      </c>
      <c r="I7" s="156">
        <v>3.23</v>
      </c>
      <c r="J7" s="157">
        <v>14</v>
      </c>
      <c r="K7" s="26">
        <f t="shared" si="0"/>
        <v>7.75</v>
      </c>
      <c r="L7" s="44" t="s">
        <v>159</v>
      </c>
      <c r="M7">
        <v>0.5</v>
      </c>
      <c r="N7" s="45">
        <f t="shared" si="2"/>
        <v>0.94117647058823528</v>
      </c>
      <c r="O7" s="51">
        <f t="shared" si="1"/>
        <v>3.185953546428447</v>
      </c>
      <c r="P7" s="52">
        <f t="shared" si="3"/>
        <v>3.185953546428447</v>
      </c>
      <c r="Q7" s="26">
        <f t="shared" si="4"/>
        <v>2.4325527309360777</v>
      </c>
      <c r="R7" s="46">
        <f t="shared" si="5"/>
        <v>0.28276117102802034</v>
      </c>
      <c r="T7" s="145">
        <f t="shared" si="6"/>
        <v>2.2894613938221906</v>
      </c>
      <c r="U7" s="48">
        <f t="shared" si="7"/>
        <v>0.25047356326357512</v>
      </c>
      <c r="V7" s="49">
        <f t="shared" si="8"/>
        <v>0.50047333921356407</v>
      </c>
    </row>
    <row r="8" spans="1:22" ht="17" x14ac:dyDescent="0.25">
      <c r="A8" t="s">
        <v>229</v>
      </c>
      <c r="B8" s="152" t="s">
        <v>80</v>
      </c>
      <c r="C8" s="50" t="s">
        <v>156</v>
      </c>
      <c r="D8" t="s">
        <v>242</v>
      </c>
      <c r="E8" s="53">
        <v>17.05</v>
      </c>
      <c r="F8" s="53">
        <v>4.08</v>
      </c>
      <c r="G8" t="s">
        <v>243</v>
      </c>
      <c r="H8" s="53">
        <v>25.07</v>
      </c>
      <c r="I8" s="53">
        <v>5.1100000000000003</v>
      </c>
      <c r="J8" s="25">
        <v>14</v>
      </c>
      <c r="K8" s="26">
        <f t="shared" si="0"/>
        <v>8.02</v>
      </c>
      <c r="L8" s="44" t="s">
        <v>159</v>
      </c>
      <c r="M8">
        <v>0.5</v>
      </c>
      <c r="N8" s="45">
        <f t="shared" si="2"/>
        <v>0.94117647058823528</v>
      </c>
      <c r="O8" s="51">
        <f t="shared" si="1"/>
        <v>4.6807798495549857</v>
      </c>
      <c r="P8" s="52">
        <f t="shared" si="3"/>
        <v>4.6807798495549857</v>
      </c>
      <c r="Q8" s="26">
        <f t="shared" si="4"/>
        <v>1.7133897038038399</v>
      </c>
      <c r="R8" s="46">
        <f t="shared" si="5"/>
        <v>0.1762751527536075</v>
      </c>
      <c r="T8" s="145">
        <f t="shared" si="6"/>
        <v>1.6126020741683198</v>
      </c>
      <c r="U8" s="48">
        <f t="shared" si="7"/>
        <v>0.15614684811392221</v>
      </c>
      <c r="V8" s="49">
        <f t="shared" si="8"/>
        <v>0.39515420801748047</v>
      </c>
    </row>
    <row r="9" spans="1:22" ht="17" x14ac:dyDescent="0.25">
      <c r="A9" t="s">
        <v>28</v>
      </c>
      <c r="B9" s="152" t="s">
        <v>80</v>
      </c>
      <c r="C9" s="50" t="s">
        <v>156</v>
      </c>
      <c r="D9" t="s">
        <v>180</v>
      </c>
      <c r="E9" s="53">
        <v>21.28387</v>
      </c>
      <c r="F9" s="53">
        <v>3.557671</v>
      </c>
      <c r="G9" t="s">
        <v>181</v>
      </c>
      <c r="H9" s="53">
        <v>31.592580000000002</v>
      </c>
      <c r="I9" s="53">
        <v>3.6660119999999998</v>
      </c>
      <c r="J9" s="25">
        <v>31</v>
      </c>
      <c r="K9" s="26">
        <f t="shared" si="0"/>
        <v>10.308710000000001</v>
      </c>
      <c r="L9" s="44" t="s">
        <v>159</v>
      </c>
      <c r="M9">
        <v>0.5</v>
      </c>
      <c r="N9" s="45">
        <f t="shared" si="2"/>
        <v>0.97478991596638653</v>
      </c>
      <c r="O9" s="51">
        <f t="shared" si="1"/>
        <v>3.6130599704866508</v>
      </c>
      <c r="P9" s="52">
        <f t="shared" si="3"/>
        <v>3.6130599704866508</v>
      </c>
      <c r="Q9" s="26">
        <f t="shared" si="4"/>
        <v>2.8531798763947722</v>
      </c>
      <c r="R9" s="46">
        <f t="shared" si="5"/>
        <v>0.16355863559780787</v>
      </c>
      <c r="T9" s="145">
        <f t="shared" si="6"/>
        <v>2.7812509719478453</v>
      </c>
      <c r="U9" s="48">
        <f t="shared" si="7"/>
        <v>0.15541593112097327</v>
      </c>
      <c r="V9" s="49">
        <f t="shared" si="8"/>
        <v>0.39422827285847128</v>
      </c>
    </row>
    <row r="10" spans="1:22" ht="17" x14ac:dyDescent="0.25">
      <c r="A10" t="s">
        <v>32</v>
      </c>
      <c r="B10" s="152" t="s">
        <v>80</v>
      </c>
      <c r="C10" s="50" t="s">
        <v>156</v>
      </c>
      <c r="D10" t="s">
        <v>182</v>
      </c>
      <c r="E10" s="53">
        <v>21.628064516129029</v>
      </c>
      <c r="F10" s="53">
        <v>1.5008962197186031</v>
      </c>
      <c r="G10" t="s">
        <v>183</v>
      </c>
      <c r="H10" s="53">
        <v>23.759032258064519</v>
      </c>
      <c r="I10" s="53">
        <v>3.14939396798676</v>
      </c>
      <c r="J10" s="25">
        <v>31</v>
      </c>
      <c r="K10" s="26">
        <f t="shared" si="0"/>
        <v>2.1309677419354891</v>
      </c>
      <c r="L10" s="44" t="s">
        <v>159</v>
      </c>
      <c r="M10">
        <v>0.5</v>
      </c>
      <c r="N10" s="45">
        <f t="shared" si="2"/>
        <v>0.97478991596638653</v>
      </c>
      <c r="O10" s="51">
        <f t="shared" si="1"/>
        <v>2.7284534679926433</v>
      </c>
      <c r="P10" s="52">
        <f t="shared" si="3"/>
        <v>2.7284534679926433</v>
      </c>
      <c r="Q10" s="26">
        <f t="shared" si="4"/>
        <v>0.78101670669255285</v>
      </c>
      <c r="R10" s="46">
        <f t="shared" si="5"/>
        <v>4.2096566066659374E-2</v>
      </c>
      <c r="T10" s="145">
        <f t="shared" si="6"/>
        <v>0.76132720988517755</v>
      </c>
      <c r="U10" s="48">
        <f t="shared" si="7"/>
        <v>4.0000804533081601E-2</v>
      </c>
      <c r="V10" s="49">
        <f t="shared" si="8"/>
        <v>0.20000201132259046</v>
      </c>
    </row>
    <row r="11" spans="1:22" ht="17" x14ac:dyDescent="0.25">
      <c r="A11" t="s">
        <v>35</v>
      </c>
      <c r="B11" s="152" t="s">
        <v>80</v>
      </c>
      <c r="C11" s="50" t="s">
        <v>156</v>
      </c>
      <c r="D11" t="s">
        <v>189</v>
      </c>
      <c r="E11" s="53">
        <v>18.961874999999999</v>
      </c>
      <c r="F11" s="53">
        <v>3.6705680191672432</v>
      </c>
      <c r="G11" t="s">
        <v>190</v>
      </c>
      <c r="H11" s="53">
        <v>25.274374999999999</v>
      </c>
      <c r="I11" s="53">
        <v>5.7108025924558099</v>
      </c>
      <c r="J11" s="25">
        <v>16</v>
      </c>
      <c r="K11" s="26">
        <f t="shared" si="0"/>
        <v>6.3125</v>
      </c>
      <c r="L11" s="44" t="s">
        <v>159</v>
      </c>
      <c r="M11">
        <v>0.5</v>
      </c>
      <c r="N11" s="45">
        <f t="shared" si="2"/>
        <v>0.94915254237288138</v>
      </c>
      <c r="O11" s="51">
        <f t="shared" si="1"/>
        <v>5.0124291988703105</v>
      </c>
      <c r="P11" s="52">
        <f t="shared" si="3"/>
        <v>5.0124291988703105</v>
      </c>
      <c r="Q11" s="26">
        <f t="shared" si="4"/>
        <v>1.2593694094317973</v>
      </c>
      <c r="R11" s="46">
        <f t="shared" si="5"/>
        <v>0.11206285341914357</v>
      </c>
      <c r="T11" s="145">
        <f t="shared" si="6"/>
        <v>1.1953336767488245</v>
      </c>
      <c r="U11" s="48">
        <f t="shared" si="7"/>
        <v>0.10095636550486477</v>
      </c>
      <c r="V11" s="49">
        <f t="shared" si="8"/>
        <v>0.31773631442575895</v>
      </c>
    </row>
    <row r="12" spans="1:22" ht="17" x14ac:dyDescent="0.25">
      <c r="A12" t="s">
        <v>38</v>
      </c>
      <c r="B12" s="152" t="s">
        <v>80</v>
      </c>
      <c r="C12" s="50" t="s">
        <v>156</v>
      </c>
      <c r="D12" t="s">
        <v>184</v>
      </c>
      <c r="E12" s="53">
        <v>17.943750000000001</v>
      </c>
      <c r="F12" s="53">
        <v>4.842393175555519</v>
      </c>
      <c r="G12" t="s">
        <v>185</v>
      </c>
      <c r="H12" s="53">
        <v>23.188124999999999</v>
      </c>
      <c r="I12" s="53">
        <v>3.9976746886992518</v>
      </c>
      <c r="J12" s="25">
        <v>16</v>
      </c>
      <c r="K12" s="26">
        <f t="shared" si="0"/>
        <v>5.244374999999998</v>
      </c>
      <c r="L12" s="44" t="s">
        <v>159</v>
      </c>
      <c r="M12">
        <v>0.5</v>
      </c>
      <c r="N12" s="45">
        <f t="shared" si="2"/>
        <v>0.94915254237288138</v>
      </c>
      <c r="O12" s="51">
        <f t="shared" si="1"/>
        <v>4.4801631613910038</v>
      </c>
      <c r="P12" s="52">
        <f t="shared" si="3"/>
        <v>4.4801631613910038</v>
      </c>
      <c r="Q12" s="26">
        <f t="shared" si="4"/>
        <v>1.1705767872908721</v>
      </c>
      <c r="R12" s="46">
        <f t="shared" si="5"/>
        <v>0.10532031296700686</v>
      </c>
      <c r="T12" s="145">
        <f t="shared" si="6"/>
        <v>1.1110559336998109</v>
      </c>
      <c r="U12" s="48">
        <f t="shared" si="7"/>
        <v>9.4882074537355227E-2</v>
      </c>
      <c r="V12" s="49">
        <f t="shared" si="8"/>
        <v>0.30802934038392388</v>
      </c>
    </row>
    <row r="13" spans="1:22" ht="17" x14ac:dyDescent="0.25">
      <c r="A13" t="s">
        <v>40</v>
      </c>
      <c r="B13" s="152" t="s">
        <v>80</v>
      </c>
      <c r="C13" s="50" t="s">
        <v>156</v>
      </c>
      <c r="D13" t="s">
        <v>244</v>
      </c>
      <c r="E13" s="53">
        <v>18.962499999999999</v>
      </c>
      <c r="F13" s="53">
        <v>5.2389750906069414</v>
      </c>
      <c r="G13" t="s">
        <v>245</v>
      </c>
      <c r="H13" s="53">
        <v>25.998125000000002</v>
      </c>
      <c r="I13" s="53">
        <v>5.4787276123202187</v>
      </c>
      <c r="J13" s="25">
        <v>16</v>
      </c>
      <c r="K13" s="26">
        <f t="shared" si="0"/>
        <v>7.0356250000000031</v>
      </c>
      <c r="L13" s="44" t="s">
        <v>159</v>
      </c>
      <c r="M13">
        <v>0.5</v>
      </c>
      <c r="N13" s="45">
        <f t="shared" si="2"/>
        <v>0.94915254237288138</v>
      </c>
      <c r="O13" s="51">
        <f t="shared" si="1"/>
        <v>5.3628722491621925</v>
      </c>
      <c r="P13" s="52">
        <f t="shared" si="3"/>
        <v>5.3628722491621925</v>
      </c>
      <c r="Q13" s="26">
        <f t="shared" si="4"/>
        <v>1.3119135927765451</v>
      </c>
      <c r="R13" s="46">
        <f t="shared" si="5"/>
        <v>0.11628491484099571</v>
      </c>
      <c r="T13" s="47">
        <f t="shared" si="6"/>
        <v>1.2452061219573987</v>
      </c>
      <c r="U13" s="48">
        <f t="shared" si="7"/>
        <v>0.10475998073581229</v>
      </c>
      <c r="V13" s="49">
        <f t="shared" si="8"/>
        <v>0.32366646526294979</v>
      </c>
    </row>
    <row r="14" spans="1:22" ht="17" x14ac:dyDescent="0.25">
      <c r="A14" t="s">
        <v>193</v>
      </c>
      <c r="B14" s="152" t="s">
        <v>80</v>
      </c>
      <c r="C14" s="50" t="s">
        <v>156</v>
      </c>
      <c r="D14" t="s">
        <v>246</v>
      </c>
      <c r="E14" s="100">
        <v>18.281874999999999</v>
      </c>
      <c r="F14" s="100">
        <v>4.1161700948818911</v>
      </c>
      <c r="G14" t="s">
        <v>247</v>
      </c>
      <c r="H14" s="100">
        <v>23.443124999999998</v>
      </c>
      <c r="I14" s="100">
        <v>4.9568050445826488</v>
      </c>
      <c r="J14">
        <v>16</v>
      </c>
      <c r="K14" s="26">
        <f t="shared" si="0"/>
        <v>5.161249999999999</v>
      </c>
      <c r="L14" s="44" t="s">
        <v>159</v>
      </c>
      <c r="M14">
        <v>0.5</v>
      </c>
      <c r="N14" s="45">
        <f t="shared" si="2"/>
        <v>0.94915254237288138</v>
      </c>
      <c r="O14" s="51">
        <f t="shared" ref="O14:O21" si="9">SQRT((F14^2+I14^2-2*M14*F14*I14))</f>
        <v>4.5945315114088832</v>
      </c>
      <c r="P14" s="52">
        <f t="shared" ref="P14:P21" si="10">O14/SQRT(2*(1-M14))</f>
        <v>4.5945315114088832</v>
      </c>
      <c r="Q14" s="26">
        <f t="shared" ref="Q14:Q21" si="11">K14/P14</f>
        <v>1.1233463057514945</v>
      </c>
      <c r="R14" s="46">
        <f t="shared" ref="R14:R21" si="12">((1/J14)+(Q14^2/(2*J14)))*2*(1-M14)</f>
        <v>0.10193459133267282</v>
      </c>
      <c r="T14" s="47">
        <f t="shared" si="6"/>
        <v>1.0662270020692151</v>
      </c>
      <c r="U14" s="48">
        <f t="shared" si="7"/>
        <v>9.1831909916478605E-2</v>
      </c>
      <c r="V14" s="49">
        <f t="shared" si="8"/>
        <v>0.30303780278453479</v>
      </c>
    </row>
    <row r="15" spans="1:22" ht="17" x14ac:dyDescent="0.25">
      <c r="A15" t="s">
        <v>196</v>
      </c>
      <c r="B15" s="152" t="s">
        <v>80</v>
      </c>
      <c r="C15" s="50" t="s">
        <v>156</v>
      </c>
      <c r="D15" t="s">
        <v>248</v>
      </c>
      <c r="E15" s="100">
        <v>15.225625000000001</v>
      </c>
      <c r="F15" s="100">
        <v>2.3684311790719188</v>
      </c>
      <c r="G15" t="s">
        <v>249</v>
      </c>
      <c r="H15" s="100">
        <v>23.736875000000001</v>
      </c>
      <c r="I15" s="100">
        <v>2.5455548674765049</v>
      </c>
      <c r="J15">
        <v>16</v>
      </c>
      <c r="K15" s="26">
        <f t="shared" si="0"/>
        <v>8.5112500000000004</v>
      </c>
      <c r="L15" s="44" t="s">
        <v>159</v>
      </c>
      <c r="M15">
        <v>0.5</v>
      </c>
      <c r="N15" s="45">
        <f t="shared" si="2"/>
        <v>0.94915254237288138</v>
      </c>
      <c r="O15" s="51">
        <f t="shared" si="9"/>
        <v>2.4617766586682239</v>
      </c>
      <c r="P15" s="52">
        <f t="shared" si="10"/>
        <v>2.4617766586682239</v>
      </c>
      <c r="Q15" s="26">
        <f t="shared" si="11"/>
        <v>3.4573607520531251</v>
      </c>
      <c r="R15" s="46">
        <f t="shared" si="12"/>
        <v>0.4360419803074172</v>
      </c>
      <c r="T15" s="47">
        <f t="shared" si="6"/>
        <v>3.2815627477114409</v>
      </c>
      <c r="U15" s="48">
        <f t="shared" si="7"/>
        <v>0.3928260988922897</v>
      </c>
      <c r="V15" s="49">
        <f t="shared" si="8"/>
        <v>0.62675840552184836</v>
      </c>
    </row>
    <row r="16" spans="1:22" ht="17" x14ac:dyDescent="0.25">
      <c r="A16" t="s">
        <v>26</v>
      </c>
      <c r="B16" s="152" t="s">
        <v>80</v>
      </c>
      <c r="C16" s="50" t="s">
        <v>156</v>
      </c>
      <c r="D16" t="s">
        <v>250</v>
      </c>
      <c r="E16" s="100">
        <v>2.4175</v>
      </c>
      <c r="F16" s="100">
        <v>0.30479957891828641</v>
      </c>
      <c r="G16" t="s">
        <v>251</v>
      </c>
      <c r="H16" s="100">
        <v>1.8774999999999999</v>
      </c>
      <c r="I16" s="100">
        <v>7.4762160866749403E-2</v>
      </c>
      <c r="J16">
        <v>3</v>
      </c>
      <c r="K16" s="26">
        <f t="shared" si="0"/>
        <v>-0.54</v>
      </c>
      <c r="L16" s="44" t="s">
        <v>159</v>
      </c>
      <c r="M16">
        <v>0.5</v>
      </c>
      <c r="N16" s="45">
        <f t="shared" si="2"/>
        <v>0.5714285714285714</v>
      </c>
      <c r="O16" s="51">
        <f t="shared" si="9"/>
        <v>0.27514485067873612</v>
      </c>
      <c r="P16" s="52">
        <f t="shared" si="10"/>
        <v>0.27514485067873612</v>
      </c>
      <c r="Q16" s="26">
        <f t="shared" si="11"/>
        <v>-1.9626026024761531</v>
      </c>
      <c r="R16" s="46">
        <f t="shared" si="12"/>
        <v>0.97530149587436155</v>
      </c>
      <c r="T16" s="47">
        <f t="shared" si="6"/>
        <v>-1.1214872014149446</v>
      </c>
      <c r="U16" s="48">
        <f t="shared" si="7"/>
        <v>0.3184657945712201</v>
      </c>
      <c r="V16" s="49">
        <f t="shared" si="8"/>
        <v>0.56432773684377779</v>
      </c>
    </row>
    <row r="17" spans="1:22" ht="17" x14ac:dyDescent="0.25">
      <c r="A17" t="s">
        <v>197</v>
      </c>
      <c r="B17" s="152" t="s">
        <v>80</v>
      </c>
      <c r="C17" s="50" t="s">
        <v>156</v>
      </c>
      <c r="D17" t="s">
        <v>256</v>
      </c>
      <c r="E17" s="100">
        <v>0.12</v>
      </c>
      <c r="F17" s="100">
        <v>5.2915026221291822E-2</v>
      </c>
      <c r="G17" t="s">
        <v>257</v>
      </c>
      <c r="H17" s="100">
        <v>0.15</v>
      </c>
      <c r="I17" s="100">
        <v>7.9372539331937719E-2</v>
      </c>
      <c r="J17">
        <v>7</v>
      </c>
      <c r="K17" s="26">
        <f t="shared" si="0"/>
        <v>0.03</v>
      </c>
      <c r="L17" s="44" t="s">
        <v>159</v>
      </c>
      <c r="M17">
        <v>0.5</v>
      </c>
      <c r="N17" s="45">
        <f t="shared" si="2"/>
        <v>0.86956521739130432</v>
      </c>
      <c r="O17" s="51">
        <f t="shared" si="9"/>
        <v>6.9999999999999993E-2</v>
      </c>
      <c r="P17" s="52">
        <f t="shared" si="10"/>
        <v>6.9999999999999993E-2</v>
      </c>
      <c r="Q17" s="26">
        <f t="shared" si="11"/>
        <v>0.4285714285714286</v>
      </c>
      <c r="R17" s="46">
        <f t="shared" si="12"/>
        <v>0.15597667638483964</v>
      </c>
      <c r="T17" s="47">
        <f t="shared" si="6"/>
        <v>0.37267080745341619</v>
      </c>
      <c r="U17" s="48">
        <f t="shared" si="7"/>
        <v>0.11794077609439671</v>
      </c>
      <c r="V17" s="49">
        <f t="shared" si="8"/>
        <v>0.34342506619988694</v>
      </c>
    </row>
    <row r="18" spans="1:22" ht="17" x14ac:dyDescent="0.25">
      <c r="A18" t="s">
        <v>198</v>
      </c>
      <c r="B18" s="152" t="s">
        <v>80</v>
      </c>
      <c r="C18" s="50" t="s">
        <v>156</v>
      </c>
      <c r="D18" t="s">
        <v>363</v>
      </c>
      <c r="E18" s="100">
        <v>0.12</v>
      </c>
      <c r="F18" s="100">
        <v>7.9372539331937719E-2</v>
      </c>
      <c r="G18" t="s">
        <v>364</v>
      </c>
      <c r="H18" s="100">
        <v>0.13</v>
      </c>
      <c r="I18" s="100">
        <v>0.1058300524425836</v>
      </c>
      <c r="J18">
        <v>7</v>
      </c>
      <c r="K18" s="26">
        <f t="shared" si="0"/>
        <v>1.0000000000000009E-2</v>
      </c>
      <c r="L18" s="44" t="s">
        <v>159</v>
      </c>
      <c r="M18">
        <v>0.5</v>
      </c>
      <c r="N18" s="45">
        <f t="shared" si="2"/>
        <v>0.86956521739130432</v>
      </c>
      <c r="O18" s="51">
        <f t="shared" si="9"/>
        <v>9.5393920141694552E-2</v>
      </c>
      <c r="P18" s="52">
        <f t="shared" si="10"/>
        <v>9.5393920141694552E-2</v>
      </c>
      <c r="Q18" s="26">
        <f t="shared" si="11"/>
        <v>0.10482848367219194</v>
      </c>
      <c r="R18" s="46">
        <f>((1/J18)+(Q18^2/(2*J18)))*2*(1-M18)</f>
        <v>0.14364207221350078</v>
      </c>
      <c r="T18" s="47">
        <f t="shared" si="6"/>
        <v>9.1155203193210382E-2</v>
      </c>
      <c r="U18" s="48">
        <f t="shared" si="7"/>
        <v>0.1086140432616263</v>
      </c>
      <c r="V18" s="49">
        <f t="shared" si="8"/>
        <v>0.3295664474148215</v>
      </c>
    </row>
    <row r="19" spans="1:22" ht="17" x14ac:dyDescent="0.25">
      <c r="A19" t="s">
        <v>199</v>
      </c>
      <c r="B19" s="152" t="s">
        <v>80</v>
      </c>
      <c r="C19" s="50" t="s">
        <v>156</v>
      </c>
      <c r="D19" t="s">
        <v>365</v>
      </c>
      <c r="E19" s="100">
        <v>0.11</v>
      </c>
      <c r="F19" s="100">
        <v>2.6457513110645911E-2</v>
      </c>
      <c r="G19" t="s">
        <v>366</v>
      </c>
      <c r="H19" s="100">
        <v>0.12</v>
      </c>
      <c r="I19" s="100">
        <v>7.9372539331937719E-2</v>
      </c>
      <c r="J19">
        <v>7</v>
      </c>
      <c r="K19" s="26">
        <f t="shared" si="0"/>
        <v>9.999999999999995E-3</v>
      </c>
      <c r="L19" s="44" t="s">
        <v>159</v>
      </c>
      <c r="M19">
        <v>0.5</v>
      </c>
      <c r="N19" s="45">
        <f t="shared" si="2"/>
        <v>0.86956521739130432</v>
      </c>
      <c r="O19" s="51">
        <f t="shared" si="9"/>
        <v>6.9999999999999993E-2</v>
      </c>
      <c r="P19" s="52">
        <f t="shared" si="10"/>
        <v>6.9999999999999993E-2</v>
      </c>
      <c r="Q19" s="26">
        <f t="shared" si="11"/>
        <v>0.14285714285714279</v>
      </c>
      <c r="R19" s="46">
        <f t="shared" si="12"/>
        <v>0.14431486880466471</v>
      </c>
      <c r="T19" s="47">
        <f t="shared" si="6"/>
        <v>0.12422360248447199</v>
      </c>
      <c r="U19" s="48">
        <f t="shared" si="7"/>
        <v>0.10912277414341377</v>
      </c>
      <c r="V19" s="49">
        <f t="shared" si="8"/>
        <v>0.33033736413462794</v>
      </c>
    </row>
    <row r="20" spans="1:22" ht="17" x14ac:dyDescent="0.25">
      <c r="A20" t="s">
        <v>42</v>
      </c>
      <c r="B20" s="152" t="s">
        <v>80</v>
      </c>
      <c r="C20" s="50" t="s">
        <v>156</v>
      </c>
      <c r="D20" t="s">
        <v>252</v>
      </c>
      <c r="E20" s="100">
        <v>11.89666666666667</v>
      </c>
      <c r="F20" s="100">
        <v>5.48424458155477</v>
      </c>
      <c r="G20" t="s">
        <v>253</v>
      </c>
      <c r="H20" s="100">
        <v>6.1400000000000006</v>
      </c>
      <c r="I20" s="100">
        <v>2.396623628941001</v>
      </c>
      <c r="J20">
        <v>9</v>
      </c>
      <c r="K20" s="26">
        <f t="shared" si="0"/>
        <v>-5.7566666666666695</v>
      </c>
      <c r="L20" s="44" t="s">
        <v>159</v>
      </c>
      <c r="M20">
        <v>0.5</v>
      </c>
      <c r="N20" s="45">
        <f t="shared" si="2"/>
        <v>0.90322580645161288</v>
      </c>
      <c r="O20" s="51">
        <f t="shared" si="9"/>
        <v>4.7620450751820238</v>
      </c>
      <c r="P20" s="52">
        <f t="shared" si="10"/>
        <v>4.7620450751820238</v>
      </c>
      <c r="Q20" s="26">
        <f t="shared" si="11"/>
        <v>-1.2088643798581908</v>
      </c>
      <c r="R20" s="46">
        <f t="shared" si="12"/>
        <v>0.19229739382721822</v>
      </c>
      <c r="T20" s="47">
        <f t="shared" si="6"/>
        <v>-1.0918775043880433</v>
      </c>
      <c r="U20" s="48">
        <f t="shared" si="7"/>
        <v>0.15687945552605523</v>
      </c>
      <c r="V20" s="49">
        <f t="shared" si="8"/>
        <v>0.39608011251015268</v>
      </c>
    </row>
    <row r="21" spans="1:22" ht="17" x14ac:dyDescent="0.25">
      <c r="A21" t="s">
        <v>47</v>
      </c>
      <c r="B21" s="152" t="s">
        <v>80</v>
      </c>
      <c r="C21" s="50" t="s">
        <v>156</v>
      </c>
      <c r="D21" t="s">
        <v>254</v>
      </c>
      <c r="E21" s="100">
        <v>1109</v>
      </c>
      <c r="F21" s="100">
        <v>379</v>
      </c>
      <c r="G21" t="s">
        <v>255</v>
      </c>
      <c r="H21" s="100">
        <v>1005</v>
      </c>
      <c r="I21" s="100">
        <v>337</v>
      </c>
      <c r="J21">
        <v>18</v>
      </c>
      <c r="K21" s="26">
        <f t="shared" si="0"/>
        <v>-104</v>
      </c>
      <c r="L21" s="44" t="s">
        <v>159</v>
      </c>
      <c r="M21">
        <v>0.5</v>
      </c>
      <c r="N21" s="45">
        <f t="shared" si="2"/>
        <v>0.95522388059701491</v>
      </c>
      <c r="O21" s="51">
        <f t="shared" si="9"/>
        <v>359.843021330135</v>
      </c>
      <c r="P21" s="52">
        <f t="shared" si="10"/>
        <v>359.843021330135</v>
      </c>
      <c r="Q21" s="26">
        <f t="shared" si="11"/>
        <v>-0.28901491438008481</v>
      </c>
      <c r="R21" s="46">
        <f t="shared" si="12"/>
        <v>5.7875822798170211E-2</v>
      </c>
      <c r="T21" s="47">
        <f t="shared" si="6"/>
        <v>-0.27607394806455859</v>
      </c>
      <c r="U21" s="48">
        <f t="shared" si="7"/>
        <v>5.2808948581266467E-2</v>
      </c>
      <c r="V21" s="49">
        <f t="shared" si="8"/>
        <v>0.22980197688720275</v>
      </c>
    </row>
  </sheetData>
  <mergeCells count="2">
    <mergeCell ref="D3:F3"/>
    <mergeCell ref="G3:I3"/>
  </mergeCells>
  <phoneticPr fontId="3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FDFA-133E-4268-AD51-C83F30AD8FCD}">
  <sheetPr>
    <tabColor theme="9"/>
  </sheetPr>
  <dimension ref="A1:V8"/>
  <sheetViews>
    <sheetView zoomScale="141" workbookViewId="0">
      <selection activeCell="H23" sqref="H23"/>
    </sheetView>
  </sheetViews>
  <sheetFormatPr baseColWidth="10" defaultColWidth="11.5" defaultRowHeight="15" x14ac:dyDescent="0.2"/>
  <cols>
    <col min="1" max="1" width="23.6640625" customWidth="1"/>
    <col min="4" max="4" width="22.1640625" customWidth="1"/>
    <col min="8" max="9" width="12.6640625" bestFit="1" customWidth="1"/>
  </cols>
  <sheetData>
    <row r="1" spans="1:22" ht="24" x14ac:dyDescent="0.3">
      <c r="A1" s="18" t="s">
        <v>177</v>
      </c>
      <c r="D1" s="147" t="s">
        <v>166</v>
      </c>
    </row>
    <row r="2" spans="1:22" s="35" customFormat="1" ht="17" x14ac:dyDescent="0.25">
      <c r="A2" s="27" t="s">
        <v>123</v>
      </c>
      <c r="B2" s="28" t="s">
        <v>124</v>
      </c>
      <c r="C2" s="29" t="s">
        <v>125</v>
      </c>
      <c r="D2" s="28" t="s">
        <v>126</v>
      </c>
      <c r="E2" s="27" t="s">
        <v>127</v>
      </c>
      <c r="F2" s="27" t="s">
        <v>128</v>
      </c>
      <c r="G2" s="28" t="s">
        <v>129</v>
      </c>
      <c r="H2" s="27" t="s">
        <v>130</v>
      </c>
      <c r="I2" s="27" t="s">
        <v>131</v>
      </c>
      <c r="J2" s="27" t="s">
        <v>3</v>
      </c>
      <c r="K2" s="27" t="s">
        <v>132</v>
      </c>
      <c r="L2" s="30" t="s">
        <v>133</v>
      </c>
      <c r="M2" s="31" t="s">
        <v>134</v>
      </c>
      <c r="N2" s="32" t="s">
        <v>135</v>
      </c>
      <c r="O2" s="31" t="s">
        <v>136</v>
      </c>
      <c r="P2" s="33" t="s">
        <v>137</v>
      </c>
      <c r="Q2" s="31" t="s">
        <v>138</v>
      </c>
      <c r="R2" s="34" t="s">
        <v>139</v>
      </c>
      <c r="T2" s="36" t="s">
        <v>140</v>
      </c>
      <c r="U2" s="37" t="s">
        <v>141</v>
      </c>
      <c r="V2" s="38" t="s">
        <v>142</v>
      </c>
    </row>
    <row r="3" spans="1:22" ht="16" x14ac:dyDescent="0.2">
      <c r="A3" s="19" t="s">
        <v>143</v>
      </c>
      <c r="B3" s="20" t="s">
        <v>144</v>
      </c>
      <c r="C3" s="20"/>
      <c r="D3" s="239" t="s">
        <v>145</v>
      </c>
      <c r="E3" s="240"/>
      <c r="F3" s="241"/>
      <c r="G3" s="242" t="s">
        <v>146</v>
      </c>
      <c r="H3" s="243"/>
      <c r="I3" s="244"/>
      <c r="J3" s="54"/>
      <c r="K3" s="40" t="s">
        <v>147</v>
      </c>
      <c r="L3" s="41"/>
      <c r="M3" s="39"/>
      <c r="N3" s="21" t="s">
        <v>148</v>
      </c>
      <c r="O3" s="42" t="s">
        <v>149</v>
      </c>
      <c r="P3" s="23" t="s">
        <v>150</v>
      </c>
      <c r="Q3" s="42" t="s">
        <v>151</v>
      </c>
      <c r="R3" s="21" t="s">
        <v>152</v>
      </c>
      <c r="T3" s="22" t="s">
        <v>153</v>
      </c>
      <c r="U3" s="23" t="s">
        <v>154</v>
      </c>
      <c r="V3" s="24" t="s">
        <v>155</v>
      </c>
    </row>
    <row r="4" spans="1:22" ht="17" x14ac:dyDescent="0.25">
      <c r="A4" s="43" t="s">
        <v>12</v>
      </c>
      <c r="B4" s="152" t="s">
        <v>80</v>
      </c>
      <c r="C4" s="50" t="s">
        <v>171</v>
      </c>
      <c r="D4" t="s">
        <v>157</v>
      </c>
      <c r="E4" s="53">
        <v>9.5566666666666666</v>
      </c>
      <c r="F4" s="53">
        <v>5.6949604832969358</v>
      </c>
      <c r="G4" t="s">
        <v>160</v>
      </c>
      <c r="H4" s="100">
        <v>6.7266666666666666</v>
      </c>
      <c r="I4" s="100">
        <v>5.6122917020877869</v>
      </c>
      <c r="J4" s="25">
        <v>7</v>
      </c>
      <c r="K4" s="26">
        <f>H4-E4</f>
        <v>-2.83</v>
      </c>
      <c r="L4" s="44" t="s">
        <v>159</v>
      </c>
      <c r="M4">
        <v>0.5</v>
      </c>
      <c r="N4" s="45">
        <f>1-(3/(4*(J4-1)-1))</f>
        <v>0.86956521739130432</v>
      </c>
      <c r="O4" s="51">
        <f>SQRT((F4^2+I4^2-2*M4*F4*I4))</f>
        <v>5.6540793761240966</v>
      </c>
      <c r="P4" s="52">
        <f>O4/SQRT(2*(1-M4))</f>
        <v>5.6540793761240966</v>
      </c>
      <c r="Q4" s="26">
        <f>K4/P4</f>
        <v>-0.50052357099025746</v>
      </c>
      <c r="R4" s="46">
        <f>((1/J4)+(Q4^2/(2*J4)))*2*(1-M4)</f>
        <v>0.16075170322263138</v>
      </c>
      <c r="T4" s="47">
        <f>Q4*N4</f>
        <v>-0.43523788781761519</v>
      </c>
      <c r="U4" s="48">
        <f>N4^2*R4</f>
        <v>0.12155138239896512</v>
      </c>
      <c r="V4" s="49">
        <f>SQRT(U4)</f>
        <v>0.3486421982476664</v>
      </c>
    </row>
    <row r="5" spans="1:22" ht="17" x14ac:dyDescent="0.25">
      <c r="A5" t="s">
        <v>197</v>
      </c>
      <c r="B5" s="152" t="s">
        <v>80</v>
      </c>
      <c r="C5" s="50" t="s">
        <v>171</v>
      </c>
      <c r="D5" t="s">
        <v>256</v>
      </c>
      <c r="E5" s="53">
        <v>0.12</v>
      </c>
      <c r="F5" s="53">
        <v>5.2915026221291822E-2</v>
      </c>
      <c r="G5" t="s">
        <v>263</v>
      </c>
      <c r="H5" s="100">
        <v>0.08</v>
      </c>
      <c r="I5" s="100">
        <v>5.2915026221291822E-2</v>
      </c>
      <c r="J5" s="25">
        <v>7</v>
      </c>
      <c r="K5" s="26">
        <f>H5-E5</f>
        <v>-3.9999999999999994E-2</v>
      </c>
      <c r="L5" s="44" t="s">
        <v>159</v>
      </c>
      <c r="M5">
        <v>0.5</v>
      </c>
      <c r="N5" s="45">
        <f>1-(3/(4*(J5-1)-1))</f>
        <v>0.86956521739130432</v>
      </c>
      <c r="O5" s="51">
        <f>SQRT((F5^2+I5^2-2*M5*F5*I5))</f>
        <v>5.2915026221291822E-2</v>
      </c>
      <c r="P5" s="52">
        <f>O5/SQRT(2*(1-M5))</f>
        <v>5.2915026221291822E-2</v>
      </c>
      <c r="Q5" s="26">
        <f>K5/P5</f>
        <v>-0.75592894601845417</v>
      </c>
      <c r="R5" s="46">
        <f>((1/J5)+(Q5^2/(2*J5)))*2*(1-M5)</f>
        <v>0.18367346938775506</v>
      </c>
      <c r="T5" s="47">
        <f>Q5*N5</f>
        <v>-0.65732951827691666</v>
      </c>
      <c r="U5" s="48">
        <f>N5^2*R5</f>
        <v>0.13888353072798115</v>
      </c>
      <c r="V5" s="49">
        <f>SQRT(U5)</f>
        <v>0.37267080745341613</v>
      </c>
    </row>
    <row r="6" spans="1:22" ht="17" x14ac:dyDescent="0.25">
      <c r="A6" t="s">
        <v>198</v>
      </c>
      <c r="B6" t="s">
        <v>80</v>
      </c>
      <c r="C6" t="s">
        <v>171</v>
      </c>
      <c r="D6" t="s">
        <v>363</v>
      </c>
      <c r="E6" s="100">
        <v>0.12</v>
      </c>
      <c r="F6" s="100">
        <v>7.9372539331937719E-2</v>
      </c>
      <c r="G6" t="s">
        <v>367</v>
      </c>
      <c r="H6" s="100">
        <v>0.12</v>
      </c>
      <c r="I6" s="100">
        <v>7.9372539331937719E-2</v>
      </c>
      <c r="J6">
        <v>7</v>
      </c>
      <c r="K6" s="26">
        <f t="shared" ref="K6:K8" si="0">H6-E6</f>
        <v>0</v>
      </c>
      <c r="L6" s="44" t="s">
        <v>159</v>
      </c>
      <c r="M6">
        <v>0.5</v>
      </c>
      <c r="N6" s="45">
        <f t="shared" ref="N6:N8" si="1">1-(3/(4*(J6-1)-1))</f>
        <v>0.86956521739130432</v>
      </c>
      <c r="O6" s="51">
        <f t="shared" ref="O6:O8" si="2">SQRT((F6^2+I6^2-2*M6*F6*I6))</f>
        <v>7.9372539331937719E-2</v>
      </c>
      <c r="P6" s="204">
        <f t="shared" ref="P6:P8" si="3">O6/SQRT(2*(1-M6))</f>
        <v>7.9372539331937719E-2</v>
      </c>
      <c r="Q6" s="203">
        <f>K6/P6</f>
        <v>0</v>
      </c>
      <c r="R6" s="203">
        <f>((1/J6)+(Q6^2/(2*J6)))*2*(1-M6)</f>
        <v>0.14285714285714285</v>
      </c>
    </row>
    <row r="7" spans="1:22" ht="17" x14ac:dyDescent="0.25">
      <c r="A7" t="s">
        <v>199</v>
      </c>
      <c r="B7" t="s">
        <v>80</v>
      </c>
      <c r="C7" t="s">
        <v>171</v>
      </c>
      <c r="D7" t="s">
        <v>365</v>
      </c>
      <c r="E7" s="100">
        <v>0.11</v>
      </c>
      <c r="F7" s="100">
        <v>2.6457513110645911E-2</v>
      </c>
      <c r="G7" t="s">
        <v>368</v>
      </c>
      <c r="H7" s="100">
        <v>0.11</v>
      </c>
      <c r="I7" s="100">
        <v>5.2915026221291822E-2</v>
      </c>
      <c r="J7">
        <v>7</v>
      </c>
      <c r="K7" s="26">
        <f t="shared" si="0"/>
        <v>0</v>
      </c>
      <c r="L7" s="44" t="s">
        <v>159</v>
      </c>
      <c r="M7">
        <v>0.5</v>
      </c>
      <c r="N7" s="45">
        <f t="shared" si="1"/>
        <v>0.86956521739130432</v>
      </c>
      <c r="O7" s="51">
        <f t="shared" si="2"/>
        <v>4.5825756949558406E-2</v>
      </c>
      <c r="P7" s="204">
        <f t="shared" si="3"/>
        <v>4.5825756949558406E-2</v>
      </c>
      <c r="Q7" s="203">
        <f t="shared" ref="Q7:Q8" si="4">K7/P7</f>
        <v>0</v>
      </c>
      <c r="R7" s="203">
        <f t="shared" ref="R7:R8" si="5">((1/J7)+(Q7^2/(2*J7)))*2*(1-M7)</f>
        <v>0.14285714285714285</v>
      </c>
    </row>
    <row r="8" spans="1:22" ht="17" x14ac:dyDescent="0.25">
      <c r="A8" t="s">
        <v>42</v>
      </c>
      <c r="B8" t="s">
        <v>80</v>
      </c>
      <c r="C8" t="s">
        <v>171</v>
      </c>
      <c r="D8" t="s">
        <v>252</v>
      </c>
      <c r="E8" s="100">
        <v>11.89666666666667</v>
      </c>
      <c r="F8" s="100">
        <v>5.48424458155477</v>
      </c>
      <c r="G8" t="s">
        <v>262</v>
      </c>
      <c r="H8" s="100">
        <v>5.23</v>
      </c>
      <c r="I8" s="100">
        <v>0.69099732367277011</v>
      </c>
      <c r="J8">
        <v>9</v>
      </c>
      <c r="K8" s="26">
        <f t="shared" si="0"/>
        <v>-6.6666666666666696</v>
      </c>
      <c r="L8" s="44" t="s">
        <v>159</v>
      </c>
      <c r="M8">
        <v>0.5</v>
      </c>
      <c r="N8" s="45">
        <f t="shared" si="1"/>
        <v>0.90322580645161288</v>
      </c>
      <c r="O8" s="51">
        <f t="shared" si="2"/>
        <v>5.1734724898673763</v>
      </c>
      <c r="P8" s="204">
        <f t="shared" si="3"/>
        <v>5.1734724898673763</v>
      </c>
      <c r="Q8" s="203">
        <f t="shared" si="4"/>
        <v>-1.2886251313259756</v>
      </c>
      <c r="R8" s="203">
        <f t="shared" si="5"/>
        <v>0.2033641516158271</v>
      </c>
    </row>
  </sheetData>
  <mergeCells count="2">
    <mergeCell ref="D3:F3"/>
    <mergeCell ref="G3:I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59C9-C22A-487C-BCF5-91D11E0BA1A5}">
  <sheetPr>
    <tabColor theme="9"/>
  </sheetPr>
  <dimension ref="A1:V14"/>
  <sheetViews>
    <sheetView workbookViewId="0">
      <selection activeCell="F37" sqref="F37"/>
    </sheetView>
  </sheetViews>
  <sheetFormatPr baseColWidth="10" defaultColWidth="11.5" defaultRowHeight="15" x14ac:dyDescent="0.2"/>
  <cols>
    <col min="1" max="1" width="29.5" bestFit="1" customWidth="1"/>
    <col min="3" max="3" width="14.1640625" customWidth="1"/>
    <col min="4" max="4" width="29.5" bestFit="1" customWidth="1"/>
    <col min="7" max="7" width="30.5" bestFit="1" customWidth="1"/>
    <col min="8" max="8" width="8.1640625" bestFit="1" customWidth="1"/>
    <col min="9" max="9" width="5.6640625" bestFit="1" customWidth="1"/>
    <col min="10" max="10" width="3.1640625" bestFit="1" customWidth="1"/>
    <col min="11" max="11" width="6.83203125" bestFit="1" customWidth="1"/>
    <col min="12" max="12" width="46.83203125" bestFit="1" customWidth="1"/>
    <col min="13" max="13" width="9.1640625" bestFit="1" customWidth="1"/>
    <col min="14" max="14" width="13" bestFit="1" customWidth="1"/>
  </cols>
  <sheetData>
    <row r="1" spans="1:22" ht="24" x14ac:dyDescent="0.3">
      <c r="A1" s="18" t="s">
        <v>176</v>
      </c>
    </row>
    <row r="2" spans="1:22" s="35" customFormat="1" ht="17" x14ac:dyDescent="0.25">
      <c r="A2" s="27" t="s">
        <v>123</v>
      </c>
      <c r="B2" s="28" t="s">
        <v>124</v>
      </c>
      <c r="C2" s="29" t="s">
        <v>125</v>
      </c>
      <c r="D2" s="28" t="s">
        <v>126</v>
      </c>
      <c r="E2" s="27" t="s">
        <v>127</v>
      </c>
      <c r="F2" s="27" t="s">
        <v>128</v>
      </c>
      <c r="G2" s="28" t="s">
        <v>129</v>
      </c>
      <c r="H2" s="27" t="s">
        <v>130</v>
      </c>
      <c r="I2" s="27" t="s">
        <v>131</v>
      </c>
      <c r="J2" s="27" t="s">
        <v>3</v>
      </c>
      <c r="K2" s="27" t="s">
        <v>132</v>
      </c>
      <c r="L2" s="30" t="s">
        <v>133</v>
      </c>
      <c r="M2" s="31" t="s">
        <v>134</v>
      </c>
      <c r="N2" s="32" t="s">
        <v>135</v>
      </c>
      <c r="O2" s="31" t="s">
        <v>136</v>
      </c>
      <c r="P2" s="33" t="s">
        <v>137</v>
      </c>
      <c r="Q2" s="31" t="s">
        <v>138</v>
      </c>
      <c r="R2" s="34" t="s">
        <v>139</v>
      </c>
      <c r="T2" s="36" t="s">
        <v>140</v>
      </c>
      <c r="U2" s="37" t="s">
        <v>141</v>
      </c>
      <c r="V2" s="38" t="s">
        <v>142</v>
      </c>
    </row>
    <row r="3" spans="1:22" ht="16" x14ac:dyDescent="0.2">
      <c r="A3" s="19" t="s">
        <v>143</v>
      </c>
      <c r="B3" s="20" t="s">
        <v>144</v>
      </c>
      <c r="C3" s="20"/>
      <c r="D3" s="239" t="s">
        <v>145</v>
      </c>
      <c r="E3" s="240"/>
      <c r="F3" s="241"/>
      <c r="G3" s="242" t="s">
        <v>146</v>
      </c>
      <c r="H3" s="243"/>
      <c r="I3" s="244"/>
      <c r="J3" s="54"/>
      <c r="K3" s="40" t="s">
        <v>147</v>
      </c>
      <c r="L3" s="41"/>
      <c r="M3" s="39"/>
      <c r="N3" s="21" t="s">
        <v>148</v>
      </c>
      <c r="O3" s="42" t="s">
        <v>149</v>
      </c>
      <c r="P3" s="23" t="s">
        <v>150</v>
      </c>
      <c r="Q3" s="42" t="s">
        <v>151</v>
      </c>
      <c r="R3" s="21" t="s">
        <v>152</v>
      </c>
      <c r="T3" s="22" t="s">
        <v>153</v>
      </c>
      <c r="U3" s="23" t="s">
        <v>154</v>
      </c>
      <c r="V3" s="24" t="s">
        <v>155</v>
      </c>
    </row>
    <row r="4" spans="1:22" ht="17" x14ac:dyDescent="0.25">
      <c r="A4" t="s">
        <v>228</v>
      </c>
      <c r="B4" s="152" t="s">
        <v>80</v>
      </c>
      <c r="C4" s="50" t="s">
        <v>172</v>
      </c>
      <c r="D4" t="s">
        <v>168</v>
      </c>
      <c r="E4" s="55">
        <v>23.9</v>
      </c>
      <c r="F4" s="55">
        <v>3.14</v>
      </c>
      <c r="G4" t="s">
        <v>170</v>
      </c>
      <c r="H4" s="100">
        <v>35.36</v>
      </c>
      <c r="I4" s="100">
        <v>5.34</v>
      </c>
      <c r="J4">
        <v>14</v>
      </c>
      <c r="K4" s="26">
        <f>H4-E4</f>
        <v>11.46</v>
      </c>
      <c r="L4" s="44" t="s">
        <v>159</v>
      </c>
      <c r="M4">
        <v>0.5</v>
      </c>
      <c r="N4" s="45">
        <f>1-(3/(4*(J4-1)-1))</f>
        <v>0.94117647058823528</v>
      </c>
      <c r="O4" s="51">
        <f>SQRT((F4^2+I4^2-2*M4*F4*I4))</f>
        <v>4.6483975733579417</v>
      </c>
      <c r="P4" s="52">
        <f>O4/SQRT(2*(1-M4))</f>
        <v>4.6483975733579417</v>
      </c>
      <c r="Q4" s="26">
        <f>K4/P4</f>
        <v>2.4653657134842377</v>
      </c>
      <c r="R4" s="46">
        <f>((1/J4)+(Q4^2/(2*J4)))*2*(1-M4)</f>
        <v>0.28850100361513015</v>
      </c>
      <c r="T4" s="47">
        <f>Q4*N4</f>
        <v>2.3203442009263413</v>
      </c>
      <c r="U4" s="48">
        <f>N4^2*R4</f>
        <v>0.25555798244108413</v>
      </c>
      <c r="V4" s="49">
        <f>SQRT(U4)</f>
        <v>0.50552742995913102</v>
      </c>
    </row>
    <row r="5" spans="1:22" ht="17" x14ac:dyDescent="0.25">
      <c r="A5" t="s">
        <v>229</v>
      </c>
      <c r="B5" s="152" t="s">
        <v>80</v>
      </c>
      <c r="C5" s="50" t="s">
        <v>172</v>
      </c>
      <c r="D5" t="s">
        <v>242</v>
      </c>
      <c r="E5" s="100">
        <v>17.05</v>
      </c>
      <c r="F5" s="100">
        <v>4.08</v>
      </c>
      <c r="G5" t="s">
        <v>264</v>
      </c>
      <c r="H5" s="100">
        <v>27.68</v>
      </c>
      <c r="I5" s="100">
        <v>4.5599999999999996</v>
      </c>
      <c r="J5">
        <v>14</v>
      </c>
      <c r="K5" s="26">
        <f t="shared" ref="K5:K14" si="0">H5-E5</f>
        <v>10.629999999999999</v>
      </c>
      <c r="L5" s="44" t="s">
        <v>159</v>
      </c>
      <c r="M5">
        <v>0.5</v>
      </c>
      <c r="N5" s="45">
        <f t="shared" ref="N5:N11" si="1">1-(3/(4*(J5-1)-1))</f>
        <v>0.94117647058823528</v>
      </c>
      <c r="O5" s="51">
        <f t="shared" ref="O5:O11" si="2">SQRT((F5^2+I5^2-2*M5*F5*I5))</f>
        <v>4.3399539168060297</v>
      </c>
      <c r="P5" s="52">
        <f t="shared" ref="P5:P11" si="3">O5/SQRT(2*(1-M5))</f>
        <v>4.3399539168060297</v>
      </c>
      <c r="Q5" s="26">
        <f t="shared" ref="Q5:Q11" si="4">K5/P5</f>
        <v>2.4493347634029954</v>
      </c>
      <c r="R5" s="46">
        <f t="shared" ref="R5:R11" si="5">((1/J5)+(Q5^2/(2*J5)))*2*(1-M5)</f>
        <v>0.28568717082908601</v>
      </c>
      <c r="T5" s="47">
        <f t="shared" ref="T5:T14" si="6">Q5*N5</f>
        <v>2.3052562479087015</v>
      </c>
      <c r="U5" s="48">
        <f t="shared" ref="U5:U14" si="7">N5^2*R5</f>
        <v>0.25306545236071287</v>
      </c>
      <c r="V5" s="49">
        <f t="shared" ref="V5:V14" si="8">SQRT(U5)</f>
        <v>0.50305611253687488</v>
      </c>
    </row>
    <row r="6" spans="1:22" ht="17" x14ac:dyDescent="0.25">
      <c r="A6" t="s">
        <v>28</v>
      </c>
      <c r="B6" s="152" t="s">
        <v>80</v>
      </c>
      <c r="C6" s="50" t="s">
        <v>172</v>
      </c>
      <c r="D6" t="s">
        <v>180</v>
      </c>
      <c r="E6" s="100">
        <v>21.28387</v>
      </c>
      <c r="F6" s="100">
        <v>3.557671</v>
      </c>
      <c r="G6" t="s">
        <v>186</v>
      </c>
      <c r="H6" s="100">
        <v>27.453230000000001</v>
      </c>
      <c r="I6" s="100">
        <v>4.8880039999999996</v>
      </c>
      <c r="J6">
        <v>31</v>
      </c>
      <c r="K6" s="26">
        <f t="shared" si="0"/>
        <v>6.1693600000000011</v>
      </c>
      <c r="L6" s="44" t="s">
        <v>159</v>
      </c>
      <c r="M6">
        <v>0.5</v>
      </c>
      <c r="N6" s="45">
        <f t="shared" si="1"/>
        <v>0.97478991596638653</v>
      </c>
      <c r="O6" s="51">
        <f t="shared" si="2"/>
        <v>4.3771789967481327</v>
      </c>
      <c r="P6" s="52">
        <f t="shared" si="3"/>
        <v>4.3771789967481327</v>
      </c>
      <c r="Q6" s="26">
        <f t="shared" si="4"/>
        <v>1.4094374492300417</v>
      </c>
      <c r="R6" s="46">
        <f t="shared" si="5"/>
        <v>6.4298611666001398E-2</v>
      </c>
      <c r="T6" s="47">
        <f t="shared" si="6"/>
        <v>1.3739054126948305</v>
      </c>
      <c r="U6" s="48">
        <f t="shared" si="7"/>
        <v>6.1097529735026822E-2</v>
      </c>
      <c r="V6" s="49">
        <f t="shared" si="8"/>
        <v>0.24717914502446767</v>
      </c>
    </row>
    <row r="7" spans="1:22" ht="17" x14ac:dyDescent="0.25">
      <c r="A7" t="s">
        <v>32</v>
      </c>
      <c r="B7" s="152" t="s">
        <v>80</v>
      </c>
      <c r="C7" s="50" t="s">
        <v>172</v>
      </c>
      <c r="D7" t="s">
        <v>182</v>
      </c>
      <c r="E7" s="100">
        <v>21.628064516129029</v>
      </c>
      <c r="F7" s="100">
        <v>1.5008962197186031</v>
      </c>
      <c r="G7" t="s">
        <v>187</v>
      </c>
      <c r="H7" s="100">
        <v>25.185806451612901</v>
      </c>
      <c r="I7" s="100">
        <v>2.0468036450256588</v>
      </c>
      <c r="J7">
        <v>31</v>
      </c>
      <c r="K7" s="26">
        <f t="shared" si="0"/>
        <v>3.5577419354838717</v>
      </c>
      <c r="L7" s="44" t="s">
        <v>159</v>
      </c>
      <c r="M7">
        <v>0.5</v>
      </c>
      <c r="N7" s="45">
        <f t="shared" si="1"/>
        <v>0.97478991596638653</v>
      </c>
      <c r="O7" s="51">
        <f t="shared" si="2"/>
        <v>1.8357708926580809</v>
      </c>
      <c r="P7" s="52">
        <f t="shared" si="3"/>
        <v>1.8357708926580809</v>
      </c>
      <c r="Q7" s="26">
        <f t="shared" si="4"/>
        <v>1.9380097754641294</v>
      </c>
      <c r="R7" s="46">
        <f t="shared" si="5"/>
        <v>9.2836804674105253E-2</v>
      </c>
      <c r="T7" s="47">
        <f t="shared" si="6"/>
        <v>1.8891523861667143</v>
      </c>
      <c r="U7" s="48">
        <f t="shared" si="7"/>
        <v>8.8214959656433889E-2</v>
      </c>
      <c r="V7" s="49">
        <f t="shared" si="8"/>
        <v>0.29701003292217903</v>
      </c>
    </row>
    <row r="8" spans="1:22" ht="17" x14ac:dyDescent="0.25">
      <c r="A8" t="s">
        <v>35</v>
      </c>
      <c r="B8" s="152" t="s">
        <v>80</v>
      </c>
      <c r="C8" s="50" t="s">
        <v>172</v>
      </c>
      <c r="D8" t="s">
        <v>189</v>
      </c>
      <c r="E8" s="53">
        <v>18.961874999999999</v>
      </c>
      <c r="F8" s="53">
        <v>3.6705680191672432</v>
      </c>
      <c r="G8" t="s">
        <v>191</v>
      </c>
      <c r="H8" s="100">
        <v>28.064374999999998</v>
      </c>
      <c r="I8" s="100">
        <v>7.645492762623828</v>
      </c>
      <c r="J8">
        <v>16</v>
      </c>
      <c r="K8" s="26">
        <f t="shared" si="0"/>
        <v>9.1024999999999991</v>
      </c>
      <c r="L8" s="44" t="s">
        <v>159</v>
      </c>
      <c r="M8">
        <v>0.5</v>
      </c>
      <c r="N8" s="45">
        <f t="shared" si="1"/>
        <v>0.94915254237288138</v>
      </c>
      <c r="O8" s="51">
        <f t="shared" si="2"/>
        <v>6.6229395242146847</v>
      </c>
      <c r="P8" s="52">
        <f t="shared" si="3"/>
        <v>6.6229395242146847</v>
      </c>
      <c r="Q8" s="26">
        <f t="shared" si="4"/>
        <v>1.3743897202623676</v>
      </c>
      <c r="R8" s="46">
        <f t="shared" si="5"/>
        <v>0.12152959697383967</v>
      </c>
      <c r="T8" s="47">
        <f t="shared" si="6"/>
        <v>1.3045054971981795</v>
      </c>
      <c r="U8" s="48">
        <f t="shared" si="7"/>
        <v>0.10948486530018996</v>
      </c>
      <c r="V8" s="49">
        <f t="shared" si="8"/>
        <v>0.33088497291383595</v>
      </c>
    </row>
    <row r="9" spans="1:22" ht="17" x14ac:dyDescent="0.25">
      <c r="A9" t="s">
        <v>38</v>
      </c>
      <c r="B9" s="152" t="s">
        <v>80</v>
      </c>
      <c r="C9" s="50" t="s">
        <v>172</v>
      </c>
      <c r="D9" t="s">
        <v>184</v>
      </c>
      <c r="E9" s="53">
        <v>17.943750000000001</v>
      </c>
      <c r="F9" s="53">
        <v>4.842393175555519</v>
      </c>
      <c r="G9" t="s">
        <v>188</v>
      </c>
      <c r="H9" s="100">
        <v>23.920625000000001</v>
      </c>
      <c r="I9" s="100">
        <v>2.5611494001717281</v>
      </c>
      <c r="J9">
        <v>16</v>
      </c>
      <c r="K9" s="26">
        <f t="shared" si="0"/>
        <v>5.9768749999999997</v>
      </c>
      <c r="L9" s="44" t="s">
        <v>159</v>
      </c>
      <c r="M9">
        <v>0.5</v>
      </c>
      <c r="N9" s="45">
        <f t="shared" si="1"/>
        <v>0.94915254237288138</v>
      </c>
      <c r="O9" s="51">
        <f t="shared" si="2"/>
        <v>4.1959701547671875</v>
      </c>
      <c r="P9" s="52">
        <f t="shared" si="3"/>
        <v>4.1959701547671875</v>
      </c>
      <c r="Q9" s="26">
        <f t="shared" si="4"/>
        <v>1.4244322003123555</v>
      </c>
      <c r="R9" s="46">
        <f t="shared" si="5"/>
        <v>0.12590647166520932</v>
      </c>
      <c r="T9" s="47">
        <f t="shared" si="6"/>
        <v>1.3520034443642697</v>
      </c>
      <c r="U9" s="48">
        <f t="shared" si="7"/>
        <v>0.11342795034245805</v>
      </c>
      <c r="V9" s="49">
        <f t="shared" si="8"/>
        <v>0.33679066249297657</v>
      </c>
    </row>
    <row r="10" spans="1:22" ht="17" x14ac:dyDescent="0.25">
      <c r="A10" t="s">
        <v>40</v>
      </c>
      <c r="B10" s="152" t="s">
        <v>80</v>
      </c>
      <c r="C10" s="50" t="s">
        <v>172</v>
      </c>
      <c r="D10" t="s">
        <v>244</v>
      </c>
      <c r="E10" s="53">
        <v>18.962499999999999</v>
      </c>
      <c r="F10" s="53">
        <v>5.2389750906069414</v>
      </c>
      <c r="G10" s="100" t="s">
        <v>265</v>
      </c>
      <c r="H10" s="100">
        <v>27.894375</v>
      </c>
      <c r="I10" s="100">
        <v>6.5285158790749156</v>
      </c>
      <c r="J10">
        <v>16</v>
      </c>
      <c r="K10" s="26">
        <f t="shared" si="0"/>
        <v>8.9318750000000016</v>
      </c>
      <c r="L10" s="44" t="s">
        <v>159</v>
      </c>
      <c r="M10">
        <v>0.5</v>
      </c>
      <c r="N10" s="45">
        <f t="shared" si="1"/>
        <v>0.94915254237288138</v>
      </c>
      <c r="O10" s="51">
        <f t="shared" si="2"/>
        <v>5.9887934940376732</v>
      </c>
      <c r="P10" s="52">
        <f t="shared" si="3"/>
        <v>5.9887934940376732</v>
      </c>
      <c r="Q10" s="26">
        <f t="shared" si="4"/>
        <v>1.49143145591719</v>
      </c>
      <c r="R10" s="46">
        <f t="shared" si="5"/>
        <v>0.13201149336560214</v>
      </c>
      <c r="T10" s="47">
        <f t="shared" si="6"/>
        <v>1.4155959581586888</v>
      </c>
      <c r="U10" s="48">
        <f t="shared" si="7"/>
        <v>0.11892790669190702</v>
      </c>
      <c r="V10" s="49">
        <f t="shared" si="8"/>
        <v>0.34485925635236619</v>
      </c>
    </row>
    <row r="11" spans="1:22" ht="17" x14ac:dyDescent="0.25">
      <c r="A11" t="s">
        <v>193</v>
      </c>
      <c r="B11" s="152" t="s">
        <v>80</v>
      </c>
      <c r="C11" s="50" t="s">
        <v>172</v>
      </c>
      <c r="D11" t="s">
        <v>246</v>
      </c>
      <c r="E11" s="53">
        <v>18.281874999999999</v>
      </c>
      <c r="F11" s="53">
        <v>4.1161700948818911</v>
      </c>
      <c r="G11" s="100" t="s">
        <v>266</v>
      </c>
      <c r="H11" s="100">
        <v>24.62875</v>
      </c>
      <c r="I11" s="100">
        <v>2.73435641422255</v>
      </c>
      <c r="J11">
        <v>16</v>
      </c>
      <c r="K11" s="26">
        <f t="shared" si="0"/>
        <v>6.3468750000000007</v>
      </c>
      <c r="L11" s="44" t="s">
        <v>159</v>
      </c>
      <c r="M11">
        <v>0.5</v>
      </c>
      <c r="N11" s="45">
        <f t="shared" si="1"/>
        <v>0.94915254237288138</v>
      </c>
      <c r="O11" s="51">
        <f t="shared" si="2"/>
        <v>3.628289562456207</v>
      </c>
      <c r="P11" s="52">
        <f t="shared" si="3"/>
        <v>3.628289562456207</v>
      </c>
      <c r="Q11" s="26">
        <f t="shared" si="4"/>
        <v>1.7492746625502018</v>
      </c>
      <c r="R11" s="46">
        <f t="shared" si="5"/>
        <v>0.15812380765750383</v>
      </c>
      <c r="T11" s="47">
        <f t="shared" si="6"/>
        <v>1.6603284932679883</v>
      </c>
      <c r="U11" s="48">
        <f t="shared" si="7"/>
        <v>0.14245224384197991</v>
      </c>
      <c r="V11" s="49">
        <f t="shared" si="8"/>
        <v>0.37742846188646123</v>
      </c>
    </row>
    <row r="12" spans="1:22" ht="17" x14ac:dyDescent="0.25">
      <c r="A12" t="s">
        <v>196</v>
      </c>
      <c r="B12" t="s">
        <v>80</v>
      </c>
      <c r="C12" t="s">
        <v>172</v>
      </c>
      <c r="D12" t="s">
        <v>248</v>
      </c>
      <c r="E12" s="100">
        <v>15.225625000000001</v>
      </c>
      <c r="F12" s="100">
        <v>2.3684311790719188</v>
      </c>
      <c r="G12" s="100" t="s">
        <v>267</v>
      </c>
      <c r="H12" s="100">
        <v>24.7</v>
      </c>
      <c r="I12" s="100">
        <v>2.1596079891190119</v>
      </c>
      <c r="J12">
        <v>16</v>
      </c>
      <c r="K12" s="26">
        <f>H12-E12</f>
        <v>9.4743749999999984</v>
      </c>
      <c r="L12" s="44" t="s">
        <v>159</v>
      </c>
      <c r="M12">
        <v>0.5</v>
      </c>
      <c r="N12" s="45">
        <f t="shared" ref="N12:N14" si="9">1-(3/(4*(J12-1)-1))</f>
        <v>0.94915254237288138</v>
      </c>
      <c r="O12" s="51">
        <f>SQRT((F12^2+I12^2-2*M12*F12*I12))</f>
        <v>2.2712309483327289</v>
      </c>
      <c r="P12" s="52">
        <f t="shared" ref="P12:P14" si="10">O12/SQRT(2*(1-M12))</f>
        <v>2.2712309483327289</v>
      </c>
      <c r="Q12" s="26">
        <f t="shared" ref="Q12:Q14" si="11">K12/P12</f>
        <v>4.1714714247597637</v>
      </c>
      <c r="R12" s="46">
        <f t="shared" ref="R12:R14" si="12">((1/J12)+(Q12^2/(2*J12)))*2*(1-M12)</f>
        <v>0.60628668273710162</v>
      </c>
      <c r="T12" s="47">
        <f t="shared" si="6"/>
        <v>3.9593627082465557</v>
      </c>
      <c r="U12" s="48">
        <f t="shared" si="7"/>
        <v>0.54619794227622831</v>
      </c>
      <c r="V12" s="49">
        <f t="shared" si="8"/>
        <v>0.73905205654015216</v>
      </c>
    </row>
    <row r="13" spans="1:22" ht="17" x14ac:dyDescent="0.25">
      <c r="A13" t="s">
        <v>26</v>
      </c>
      <c r="B13" t="s">
        <v>80</v>
      </c>
      <c r="C13" t="s">
        <v>172</v>
      </c>
      <c r="D13" t="s">
        <v>250</v>
      </c>
      <c r="E13" s="100">
        <v>2.4175</v>
      </c>
      <c r="F13" s="100">
        <v>0.30479957891828641</v>
      </c>
      <c r="G13" s="100" t="s">
        <v>268</v>
      </c>
      <c r="H13" s="100">
        <v>5.8175000000000008</v>
      </c>
      <c r="I13" s="100">
        <v>9.7765902671903104E-2</v>
      </c>
      <c r="J13">
        <v>3</v>
      </c>
      <c r="K13" s="26">
        <f t="shared" si="0"/>
        <v>3.4000000000000008</v>
      </c>
      <c r="L13" s="44" t="s">
        <v>159</v>
      </c>
      <c r="M13">
        <v>0.5</v>
      </c>
      <c r="N13" s="45">
        <f t="shared" si="9"/>
        <v>0.5714285714285714</v>
      </c>
      <c r="O13" s="51">
        <f>SQRT((F13^2+I13^2-2*M13*F13*I13))</f>
        <v>0.2695588044695526</v>
      </c>
      <c r="P13" s="52">
        <f t="shared" si="10"/>
        <v>0.2695588044695526</v>
      </c>
      <c r="Q13" s="26">
        <f t="shared" si="11"/>
        <v>12.613203292285858</v>
      </c>
      <c r="R13" s="46">
        <f t="shared" si="12"/>
        <v>26.848816215421799</v>
      </c>
      <c r="T13" s="47">
        <f t="shared" si="6"/>
        <v>7.2075447384490614</v>
      </c>
      <c r="U13" s="48">
        <f t="shared" si="7"/>
        <v>8.7669603968724239</v>
      </c>
      <c r="V13" s="49">
        <f t="shared" si="8"/>
        <v>2.9609053339937135</v>
      </c>
    </row>
    <row r="14" spans="1:22" ht="17" x14ac:dyDescent="0.25">
      <c r="A14" t="s">
        <v>42</v>
      </c>
      <c r="B14" t="s">
        <v>80</v>
      </c>
      <c r="C14" t="s">
        <v>172</v>
      </c>
      <c r="D14" t="s">
        <v>252</v>
      </c>
      <c r="E14" s="100">
        <v>11.89666666666667</v>
      </c>
      <c r="F14" s="100">
        <v>5.48424458155477</v>
      </c>
      <c r="G14" s="100" t="s">
        <v>269</v>
      </c>
      <c r="H14" s="100">
        <v>9.41</v>
      </c>
      <c r="I14" s="100">
        <v>4.1197435373401872</v>
      </c>
      <c r="J14">
        <v>9</v>
      </c>
      <c r="K14" s="26">
        <f t="shared" si="0"/>
        <v>-2.4866666666666699</v>
      </c>
      <c r="L14" s="44" t="s">
        <v>159</v>
      </c>
      <c r="M14">
        <v>0.5</v>
      </c>
      <c r="N14" s="45">
        <f t="shared" si="9"/>
        <v>0.90322580645161288</v>
      </c>
      <c r="O14" s="51">
        <f t="shared" ref="O14" si="13">SQRT((F14^2+I14^2-2*M14*F14*I14))</f>
        <v>4.945254722632181</v>
      </c>
      <c r="P14" s="52">
        <f t="shared" si="10"/>
        <v>4.945254722632181</v>
      </c>
      <c r="Q14" s="26">
        <f t="shared" si="11"/>
        <v>-0.50283894483459624</v>
      </c>
      <c r="R14" s="46">
        <f t="shared" si="12"/>
        <v>0.12515816691346501</v>
      </c>
      <c r="T14" s="47">
        <f t="shared" si="6"/>
        <v>-0.45417711146350626</v>
      </c>
      <c r="U14" s="48">
        <f t="shared" si="7"/>
        <v>0.10210614241431484</v>
      </c>
      <c r="V14" s="49">
        <f t="shared" si="8"/>
        <v>0.31954051764105729</v>
      </c>
    </row>
  </sheetData>
  <mergeCells count="2">
    <mergeCell ref="D3:F3"/>
    <mergeCell ref="G3:I3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D606-6357-44E5-A6D5-D0941BBAB328}">
  <sheetPr>
    <tabColor theme="5"/>
  </sheetPr>
  <dimension ref="A1:V21"/>
  <sheetViews>
    <sheetView workbookViewId="0">
      <selection activeCell="C4" sqref="C4:C21"/>
    </sheetView>
  </sheetViews>
  <sheetFormatPr baseColWidth="10" defaultColWidth="11.5" defaultRowHeight="15" x14ac:dyDescent="0.2"/>
  <cols>
    <col min="1" max="1" width="43.33203125" customWidth="1"/>
    <col min="6" max="6" width="35.33203125" customWidth="1"/>
    <col min="11" max="11" width="6.83203125" bestFit="1" customWidth="1"/>
  </cols>
  <sheetData>
    <row r="1" spans="1:22" ht="24" x14ac:dyDescent="0.3">
      <c r="A1" s="18" t="s">
        <v>122</v>
      </c>
    </row>
    <row r="2" spans="1:22" s="35" customFormat="1" ht="17" x14ac:dyDescent="0.25">
      <c r="A2" s="27" t="s">
        <v>123</v>
      </c>
      <c r="B2" s="28" t="s">
        <v>124</v>
      </c>
      <c r="C2" s="29" t="s">
        <v>125</v>
      </c>
      <c r="D2" s="28" t="s">
        <v>126</v>
      </c>
      <c r="E2" s="27" t="s">
        <v>127</v>
      </c>
      <c r="F2" s="27" t="s">
        <v>128</v>
      </c>
      <c r="G2" s="28" t="s">
        <v>129</v>
      </c>
      <c r="H2" s="27" t="s">
        <v>130</v>
      </c>
      <c r="I2" s="27" t="s">
        <v>131</v>
      </c>
      <c r="J2" s="27" t="s">
        <v>3</v>
      </c>
      <c r="K2" s="27" t="s">
        <v>132</v>
      </c>
      <c r="L2" s="30" t="s">
        <v>133</v>
      </c>
      <c r="M2" s="31" t="s">
        <v>134</v>
      </c>
      <c r="N2" s="32" t="s">
        <v>135</v>
      </c>
      <c r="O2" s="31" t="s">
        <v>136</v>
      </c>
      <c r="P2" s="33" t="s">
        <v>137</v>
      </c>
      <c r="Q2" s="31" t="s">
        <v>138</v>
      </c>
      <c r="R2" s="34" t="s">
        <v>139</v>
      </c>
      <c r="T2" s="36" t="s">
        <v>140</v>
      </c>
      <c r="U2" s="37" t="s">
        <v>141</v>
      </c>
      <c r="V2" s="38" t="s">
        <v>142</v>
      </c>
    </row>
    <row r="3" spans="1:22" ht="16" x14ac:dyDescent="0.2">
      <c r="A3" s="19" t="s">
        <v>143</v>
      </c>
      <c r="B3" s="20" t="s">
        <v>144</v>
      </c>
      <c r="C3" s="20"/>
      <c r="D3" s="239" t="s">
        <v>145</v>
      </c>
      <c r="E3" s="240"/>
      <c r="F3" s="241"/>
      <c r="G3" s="242" t="s">
        <v>146</v>
      </c>
      <c r="H3" s="243"/>
      <c r="I3" s="244"/>
      <c r="J3" s="54"/>
      <c r="K3" s="40" t="s">
        <v>147</v>
      </c>
      <c r="L3" s="41"/>
      <c r="M3" s="39"/>
      <c r="N3" s="21" t="s">
        <v>148</v>
      </c>
      <c r="O3" s="42" t="s">
        <v>149</v>
      </c>
      <c r="P3" s="23" t="s">
        <v>150</v>
      </c>
      <c r="Q3" s="42" t="s">
        <v>151</v>
      </c>
      <c r="R3" s="21" t="s">
        <v>152</v>
      </c>
      <c r="T3" s="22" t="s">
        <v>153</v>
      </c>
      <c r="U3" s="23" t="s">
        <v>154</v>
      </c>
      <c r="V3" s="24" t="s">
        <v>155</v>
      </c>
    </row>
    <row r="4" spans="1:22" ht="17" x14ac:dyDescent="0.25">
      <c r="A4" s="43" t="s">
        <v>200</v>
      </c>
      <c r="B4" s="153" t="s">
        <v>92</v>
      </c>
      <c r="C4" s="50" t="s">
        <v>156</v>
      </c>
      <c r="D4" t="s">
        <v>298</v>
      </c>
      <c r="E4" s="100">
        <v>0.08</v>
      </c>
      <c r="F4" s="100">
        <v>0.01</v>
      </c>
      <c r="G4" t="s">
        <v>299</v>
      </c>
      <c r="H4" s="100">
        <v>0.1</v>
      </c>
      <c r="I4" s="100">
        <v>0.02</v>
      </c>
      <c r="J4">
        <v>16</v>
      </c>
      <c r="K4" s="26">
        <f>H4-E4</f>
        <v>2.0000000000000004E-2</v>
      </c>
      <c r="L4" s="44" t="s">
        <v>159</v>
      </c>
      <c r="M4">
        <v>0.5</v>
      </c>
      <c r="N4" s="45">
        <f>1-(3/(4*(J4-1)-1))</f>
        <v>0.94915254237288138</v>
      </c>
      <c r="O4" s="51">
        <f>SQRT((F4^2+I4^2-2*M4*F4*I4))</f>
        <v>1.7320508075688773E-2</v>
      </c>
      <c r="P4" s="52">
        <f>O4/SQRT(2*(1-M4))</f>
        <v>1.7320508075688773E-2</v>
      </c>
      <c r="Q4" s="26">
        <f>K4/P4</f>
        <v>1.1547005383792517</v>
      </c>
      <c r="R4" s="46">
        <f>((1/J4)+(Q4^2/(2*J4)))*2*(1-M4)</f>
        <v>0.10416666666666669</v>
      </c>
      <c r="T4" s="47">
        <f>Q4*N4</f>
        <v>1.0959869516820016</v>
      </c>
      <c r="U4" s="48">
        <f>N4^2*R4</f>
        <v>9.3842765488844224E-2</v>
      </c>
      <c r="V4" s="49">
        <f>SQRT(U4)</f>
        <v>0.30633766580171662</v>
      </c>
    </row>
    <row r="5" spans="1:22" ht="17" x14ac:dyDescent="0.25">
      <c r="A5" t="s">
        <v>201</v>
      </c>
      <c r="B5" s="153" t="s">
        <v>92</v>
      </c>
      <c r="C5" s="50" t="s">
        <v>156</v>
      </c>
      <c r="D5" t="s">
        <v>300</v>
      </c>
      <c r="E5" s="100">
        <v>0.05</v>
      </c>
      <c r="F5" s="100">
        <v>0.01</v>
      </c>
      <c r="G5" t="s">
        <v>301</v>
      </c>
      <c r="H5" s="100">
        <v>7.0000000000000007E-2</v>
      </c>
      <c r="I5" s="100">
        <v>0.01</v>
      </c>
      <c r="J5">
        <v>10</v>
      </c>
      <c r="K5" s="26">
        <f t="shared" ref="K5:K21" si="0">H5-E5</f>
        <v>2.0000000000000004E-2</v>
      </c>
      <c r="L5" s="44" t="s">
        <v>159</v>
      </c>
      <c r="M5">
        <v>0.5</v>
      </c>
      <c r="N5" s="45">
        <f t="shared" ref="N5:N21" si="1">1-(3/(4*(J5-1)-1))</f>
        <v>0.91428571428571426</v>
      </c>
      <c r="O5" s="51">
        <f t="shared" ref="O5:O21" si="2">SQRT((F5^2+I5^2-2*M5*F5*I5))</f>
        <v>0.01</v>
      </c>
      <c r="P5" s="52">
        <f t="shared" ref="P5:P21" si="3">O5/SQRT(2*(1-M5))</f>
        <v>0.01</v>
      </c>
      <c r="Q5" s="26">
        <f t="shared" ref="Q5:Q21" si="4">K5/P5</f>
        <v>2.0000000000000004</v>
      </c>
      <c r="R5" s="46">
        <f t="shared" ref="R5:R21" si="5">((1/J5)+(Q5^2/(2*J5)))*2*(1-M5)</f>
        <v>0.3000000000000001</v>
      </c>
      <c r="T5" s="47">
        <f t="shared" ref="T5:T21" si="6">Q5*N5</f>
        <v>1.828571428571429</v>
      </c>
      <c r="U5" s="48">
        <f t="shared" ref="U5:U21" si="7">N5^2*R5</f>
        <v>0.25077551020408168</v>
      </c>
      <c r="V5" s="49">
        <f t="shared" ref="V5:V21" si="8">SQRT(U5)</f>
        <v>0.50077490971900906</v>
      </c>
    </row>
    <row r="6" spans="1:22" ht="17" x14ac:dyDescent="0.25">
      <c r="A6" t="s">
        <v>12</v>
      </c>
      <c r="B6" s="153" t="s">
        <v>92</v>
      </c>
      <c r="C6" s="50" t="s">
        <v>156</v>
      </c>
      <c r="D6" t="s">
        <v>270</v>
      </c>
      <c r="E6" s="100">
        <v>3.62</v>
      </c>
      <c r="F6" s="100">
        <v>1.6625610443173311</v>
      </c>
      <c r="G6" t="s">
        <v>271</v>
      </c>
      <c r="H6" s="100">
        <v>4.0766666666666671</v>
      </c>
      <c r="I6" s="100">
        <v>3.352678349037713</v>
      </c>
      <c r="J6">
        <v>7</v>
      </c>
      <c r="K6" s="26">
        <f t="shared" si="0"/>
        <v>0.456666666666667</v>
      </c>
      <c r="L6" s="44" t="s">
        <v>159</v>
      </c>
      <c r="M6">
        <v>0.5</v>
      </c>
      <c r="N6" s="45">
        <f t="shared" si="1"/>
        <v>0.86956521739130432</v>
      </c>
      <c r="O6" s="51">
        <f t="shared" si="2"/>
        <v>2.9035373117891106</v>
      </c>
      <c r="P6" s="52">
        <f t="shared" si="3"/>
        <v>2.9035373117891106</v>
      </c>
      <c r="Q6" s="26">
        <f t="shared" si="4"/>
        <v>0.15727942079906551</v>
      </c>
      <c r="R6" s="46">
        <f t="shared" si="5"/>
        <v>0.1446240583004921</v>
      </c>
      <c r="T6" s="146">
        <f t="shared" si="6"/>
        <v>0.13676471373831783</v>
      </c>
      <c r="U6" s="150">
        <f t="shared" si="7"/>
        <v>0.10935656582267834</v>
      </c>
      <c r="V6" s="151">
        <f t="shared" si="8"/>
        <v>0.33069104285220419</v>
      </c>
    </row>
    <row r="7" spans="1:22" ht="17" x14ac:dyDescent="0.25">
      <c r="A7" t="s">
        <v>228</v>
      </c>
      <c r="B7" s="153" t="s">
        <v>92</v>
      </c>
      <c r="C7" s="50" t="s">
        <v>156</v>
      </c>
      <c r="D7" t="s">
        <v>272</v>
      </c>
      <c r="E7" s="100">
        <v>14.84</v>
      </c>
      <c r="F7" s="100">
        <v>6.87</v>
      </c>
      <c r="G7" t="s">
        <v>273</v>
      </c>
      <c r="H7" s="100">
        <v>11.47</v>
      </c>
      <c r="I7" s="100">
        <v>2.72</v>
      </c>
      <c r="J7">
        <v>14</v>
      </c>
      <c r="K7" s="26">
        <f t="shared" si="0"/>
        <v>-3.3699999999999992</v>
      </c>
      <c r="L7" s="44" t="s">
        <v>159</v>
      </c>
      <c r="M7">
        <v>0.5</v>
      </c>
      <c r="N7" s="45">
        <f t="shared" si="1"/>
        <v>0.94117647058823528</v>
      </c>
      <c r="O7" s="51">
        <f t="shared" si="2"/>
        <v>5.9924035244632856</v>
      </c>
      <c r="P7" s="52">
        <f t="shared" si="3"/>
        <v>5.9924035244632856</v>
      </c>
      <c r="Q7" s="26">
        <f t="shared" si="4"/>
        <v>-0.56237868265085433</v>
      </c>
      <c r="R7" s="46">
        <f t="shared" si="5"/>
        <v>8.2723920810718221E-2</v>
      </c>
      <c r="T7" s="146">
        <f t="shared" si="6"/>
        <v>-0.52929758367139235</v>
      </c>
      <c r="U7" s="150">
        <f t="shared" si="7"/>
        <v>7.327793677350819E-2</v>
      </c>
      <c r="V7" s="151">
        <f t="shared" si="8"/>
        <v>0.2706989781537939</v>
      </c>
    </row>
    <row r="8" spans="1:22" ht="17" x14ac:dyDescent="0.25">
      <c r="A8" t="s">
        <v>229</v>
      </c>
      <c r="B8" s="153" t="s">
        <v>92</v>
      </c>
      <c r="C8" s="50" t="s">
        <v>156</v>
      </c>
      <c r="D8" t="s">
        <v>274</v>
      </c>
      <c r="E8" s="100">
        <v>17.649999999999999</v>
      </c>
      <c r="F8" s="100">
        <v>6.72</v>
      </c>
      <c r="G8" t="s">
        <v>275</v>
      </c>
      <c r="H8" s="100">
        <v>15.59</v>
      </c>
      <c r="I8" s="100">
        <v>4.1500000000000004</v>
      </c>
      <c r="J8">
        <v>14</v>
      </c>
      <c r="K8" s="26">
        <f t="shared" si="0"/>
        <v>-2.0599999999999987</v>
      </c>
      <c r="L8" s="44" t="s">
        <v>159</v>
      </c>
      <c r="M8">
        <v>0.5</v>
      </c>
      <c r="N8" s="45">
        <f t="shared" si="1"/>
        <v>0.94117647058823528</v>
      </c>
      <c r="O8" s="51">
        <f t="shared" si="2"/>
        <v>5.8730656389997886</v>
      </c>
      <c r="P8" s="52">
        <f t="shared" si="3"/>
        <v>5.8730656389997886</v>
      </c>
      <c r="Q8" s="26">
        <f t="shared" si="4"/>
        <v>-0.35075378458580053</v>
      </c>
      <c r="R8" s="46">
        <f t="shared" si="5"/>
        <v>7.5822436335759358E-2</v>
      </c>
      <c r="T8" s="47">
        <f t="shared" si="6"/>
        <v>-0.33012120902192993</v>
      </c>
      <c r="U8" s="48">
        <f t="shared" si="7"/>
        <v>6.7164511079426975E-2</v>
      </c>
      <c r="V8" s="49">
        <f t="shared" si="8"/>
        <v>0.25916116815492823</v>
      </c>
    </row>
    <row r="9" spans="1:22" ht="17" x14ac:dyDescent="0.25">
      <c r="A9" t="s">
        <v>28</v>
      </c>
      <c r="B9" s="153" t="s">
        <v>92</v>
      </c>
      <c r="C9" s="50" t="s">
        <v>156</v>
      </c>
      <c r="D9" t="s">
        <v>276</v>
      </c>
      <c r="E9" s="100">
        <v>10.02290322580645</v>
      </c>
      <c r="F9" s="100">
        <v>2.0508342912879591</v>
      </c>
      <c r="G9" t="s">
        <v>277</v>
      </c>
      <c r="H9" s="100">
        <v>10.98741935483871</v>
      </c>
      <c r="I9" s="100">
        <v>2.4751928783321588</v>
      </c>
      <c r="J9">
        <v>31</v>
      </c>
      <c r="K9" s="26">
        <f t="shared" si="0"/>
        <v>0.96451612903226014</v>
      </c>
      <c r="L9" s="44" t="s">
        <v>159</v>
      </c>
      <c r="M9">
        <v>0.5</v>
      </c>
      <c r="N9" s="45">
        <f t="shared" si="1"/>
        <v>0.97478991596638653</v>
      </c>
      <c r="O9" s="51">
        <f t="shared" si="2"/>
        <v>2.2926601673238634</v>
      </c>
      <c r="P9" s="52">
        <f t="shared" si="3"/>
        <v>2.2926601673238634</v>
      </c>
      <c r="Q9" s="26">
        <f t="shared" si="4"/>
        <v>0.42069738148680963</v>
      </c>
      <c r="R9" s="46">
        <f t="shared" si="5"/>
        <v>3.5112682044997713E-2</v>
      </c>
      <c r="T9" s="47">
        <f t="shared" si="6"/>
        <v>0.410091565146806</v>
      </c>
      <c r="U9" s="48">
        <f t="shared" si="7"/>
        <v>3.3364610521678502E-2</v>
      </c>
      <c r="V9" s="49">
        <f t="shared" si="8"/>
        <v>0.18265982185931995</v>
      </c>
    </row>
    <row r="10" spans="1:22" ht="17" x14ac:dyDescent="0.25">
      <c r="A10" t="s">
        <v>32</v>
      </c>
      <c r="B10" s="153" t="s">
        <v>92</v>
      </c>
      <c r="C10" s="50" t="s">
        <v>156</v>
      </c>
      <c r="D10" t="s">
        <v>278</v>
      </c>
      <c r="E10" s="100">
        <v>10.14</v>
      </c>
      <c r="F10" s="100">
        <v>1.154899707045306</v>
      </c>
      <c r="G10" t="s">
        <v>279</v>
      </c>
      <c r="H10" s="100">
        <v>10.483870967741939</v>
      </c>
      <c r="I10" s="100">
        <v>0.66227223717217099</v>
      </c>
      <c r="J10">
        <v>31</v>
      </c>
      <c r="K10" s="26">
        <f t="shared" si="0"/>
        <v>0.34387096774193893</v>
      </c>
      <c r="L10" s="44" t="s">
        <v>159</v>
      </c>
      <c r="M10">
        <v>0.5</v>
      </c>
      <c r="N10" s="45">
        <f t="shared" si="1"/>
        <v>0.97478991596638653</v>
      </c>
      <c r="O10" s="51">
        <f t="shared" si="2"/>
        <v>1.0037628389056781</v>
      </c>
      <c r="P10" s="52">
        <f t="shared" si="3"/>
        <v>1.0037628389056781</v>
      </c>
      <c r="Q10" s="26">
        <f t="shared" si="4"/>
        <v>0.34258188728807076</v>
      </c>
      <c r="R10" s="46">
        <f t="shared" si="5"/>
        <v>3.41510056370622E-2</v>
      </c>
      <c r="T10" s="47">
        <f t="shared" si="6"/>
        <v>0.33394536912114459</v>
      </c>
      <c r="U10" s="48">
        <f t="shared" si="7"/>
        <v>3.2450810808015602E-2</v>
      </c>
      <c r="V10" s="49">
        <f t="shared" si="8"/>
        <v>0.18014108584111399</v>
      </c>
    </row>
    <row r="11" spans="1:22" ht="17" x14ac:dyDescent="0.25">
      <c r="A11" t="s">
        <v>35</v>
      </c>
      <c r="B11" s="153" t="s">
        <v>92</v>
      </c>
      <c r="C11" s="50" t="s">
        <v>156</v>
      </c>
      <c r="D11" t="s">
        <v>280</v>
      </c>
      <c r="E11" s="100">
        <v>10.11375</v>
      </c>
      <c r="F11" s="100">
        <v>1.039255342380623</v>
      </c>
      <c r="G11" t="s">
        <v>281</v>
      </c>
      <c r="H11" s="100">
        <v>12.351875</v>
      </c>
      <c r="I11" s="100">
        <v>1.9259187201610211</v>
      </c>
      <c r="J11">
        <v>16</v>
      </c>
      <c r="K11" s="26">
        <f t="shared" si="0"/>
        <v>2.2381250000000001</v>
      </c>
      <c r="L11" s="44" t="s">
        <v>159</v>
      </c>
      <c r="M11">
        <v>0.5</v>
      </c>
      <c r="N11" s="45">
        <f t="shared" si="1"/>
        <v>0.94915254237288138</v>
      </c>
      <c r="O11" s="51">
        <f t="shared" si="2"/>
        <v>1.6696386628295172</v>
      </c>
      <c r="P11" s="52">
        <f t="shared" si="3"/>
        <v>1.6696386628295172</v>
      </c>
      <c r="Q11" s="26">
        <f t="shared" si="4"/>
        <v>1.3404846508567763</v>
      </c>
      <c r="R11" s="46">
        <f t="shared" si="5"/>
        <v>0.11865309684945666</v>
      </c>
      <c r="T11" s="47">
        <f t="shared" si="6"/>
        <v>1.2723244143725334</v>
      </c>
      <c r="U11" s="48">
        <f t="shared" si="7"/>
        <v>0.10689345352481934</v>
      </c>
      <c r="V11" s="49">
        <f t="shared" si="8"/>
        <v>0.32694564307361451</v>
      </c>
    </row>
    <row r="12" spans="1:22" ht="17" x14ac:dyDescent="0.25">
      <c r="A12" t="s">
        <v>38</v>
      </c>
      <c r="B12" s="153" t="s">
        <v>92</v>
      </c>
      <c r="C12" s="50" t="s">
        <v>156</v>
      </c>
      <c r="D12" t="s">
        <v>282</v>
      </c>
      <c r="E12" s="100">
        <v>10.828749999999999</v>
      </c>
      <c r="F12" s="100">
        <v>2.9309449556983038</v>
      </c>
      <c r="G12" t="s">
        <v>283</v>
      </c>
      <c r="H12" s="100">
        <v>13.671875</v>
      </c>
      <c r="I12" s="100">
        <v>2.8009908217152968</v>
      </c>
      <c r="J12">
        <v>16</v>
      </c>
      <c r="K12" s="26">
        <f t="shared" si="0"/>
        <v>2.8431250000000006</v>
      </c>
      <c r="L12" s="44" t="s">
        <v>159</v>
      </c>
      <c r="M12">
        <v>0.5</v>
      </c>
      <c r="N12" s="45">
        <f t="shared" si="1"/>
        <v>0.94915254237288138</v>
      </c>
      <c r="O12" s="51">
        <f t="shared" si="2"/>
        <v>2.8681767722375429</v>
      </c>
      <c r="P12" s="52">
        <f t="shared" si="3"/>
        <v>2.8681767722375429</v>
      </c>
      <c r="Q12" s="26">
        <f t="shared" si="4"/>
        <v>0.99126561079497244</v>
      </c>
      <c r="R12" s="46">
        <f t="shared" si="5"/>
        <v>9.3206484723272809E-2</v>
      </c>
      <c r="T12" s="47">
        <f t="shared" si="6"/>
        <v>0.94086227465285521</v>
      </c>
      <c r="U12" s="48">
        <f t="shared" si="7"/>
        <v>8.3968841164086053E-2</v>
      </c>
      <c r="V12" s="49">
        <f t="shared" si="8"/>
        <v>0.28977377583916397</v>
      </c>
    </row>
    <row r="13" spans="1:22" ht="17" x14ac:dyDescent="0.25">
      <c r="A13" t="s">
        <v>40</v>
      </c>
      <c r="B13" s="153" t="s">
        <v>92</v>
      </c>
      <c r="C13" s="50" t="s">
        <v>156</v>
      </c>
      <c r="D13" t="s">
        <v>284</v>
      </c>
      <c r="E13" s="100">
        <v>11.708125000000001</v>
      </c>
      <c r="F13" s="100">
        <v>2.941483115142201</v>
      </c>
      <c r="G13" t="s">
        <v>285</v>
      </c>
      <c r="H13" s="100">
        <v>11.601875</v>
      </c>
      <c r="I13" s="100">
        <v>2.5780023758716748</v>
      </c>
      <c r="J13">
        <v>16</v>
      </c>
      <c r="K13" s="26">
        <f t="shared" si="0"/>
        <v>-0.10625000000000107</v>
      </c>
      <c r="L13" s="44" t="s">
        <v>159</v>
      </c>
      <c r="M13">
        <v>0.5</v>
      </c>
      <c r="N13" s="45">
        <f t="shared" si="1"/>
        <v>0.94915254237288138</v>
      </c>
      <c r="O13" s="51">
        <f t="shared" si="2"/>
        <v>2.7776372526382302</v>
      </c>
      <c r="P13" s="52">
        <f t="shared" si="3"/>
        <v>2.7776372526382302</v>
      </c>
      <c r="Q13" s="26">
        <f t="shared" si="4"/>
        <v>-3.8251935129068292E-2</v>
      </c>
      <c r="R13" s="46">
        <f t="shared" si="5"/>
        <v>6.2545725329409954E-2</v>
      </c>
      <c r="T13" s="47">
        <f t="shared" si="6"/>
        <v>-3.6306921478437698E-2</v>
      </c>
      <c r="U13" s="48">
        <f t="shared" si="7"/>
        <v>5.634685281040782E-2</v>
      </c>
      <c r="V13" s="49">
        <f t="shared" si="8"/>
        <v>0.23737492034839699</v>
      </c>
    </row>
    <row r="14" spans="1:22" ht="17" x14ac:dyDescent="0.25">
      <c r="A14" t="s">
        <v>193</v>
      </c>
      <c r="B14" s="153" t="s">
        <v>92</v>
      </c>
      <c r="C14" s="50" t="s">
        <v>156</v>
      </c>
      <c r="D14" t="s">
        <v>286</v>
      </c>
      <c r="E14" s="100">
        <v>14.374375000000001</v>
      </c>
      <c r="F14" s="100">
        <v>5.7076112560334744</v>
      </c>
      <c r="G14" t="s">
        <v>287</v>
      </c>
      <c r="H14" s="100">
        <v>15.211874999999999</v>
      </c>
      <c r="I14" s="100">
        <v>3.8675698119103159</v>
      </c>
      <c r="J14">
        <v>16</v>
      </c>
      <c r="K14" s="26">
        <f t="shared" si="0"/>
        <v>0.83749999999999858</v>
      </c>
      <c r="L14" s="44" t="s">
        <v>159</v>
      </c>
      <c r="M14">
        <v>0.5</v>
      </c>
      <c r="N14" s="45">
        <f t="shared" si="1"/>
        <v>0.94915254237288138</v>
      </c>
      <c r="O14" s="51">
        <f t="shared" si="2"/>
        <v>5.0458237690237882</v>
      </c>
      <c r="P14" s="52">
        <f t="shared" si="3"/>
        <v>5.0458237690237882</v>
      </c>
      <c r="Q14" s="26">
        <f t="shared" si="4"/>
        <v>0.16597884475105817</v>
      </c>
      <c r="R14" s="46">
        <f t="shared" si="5"/>
        <v>6.3360905528278E-2</v>
      </c>
      <c r="T14" s="47">
        <f t="shared" si="6"/>
        <v>0.15753924247558065</v>
      </c>
      <c r="U14" s="48">
        <f t="shared" si="7"/>
        <v>5.7081240947049645E-2</v>
      </c>
      <c r="V14" s="49">
        <f t="shared" si="8"/>
        <v>0.23891680758592446</v>
      </c>
    </row>
    <row r="15" spans="1:22" ht="17" x14ac:dyDescent="0.25">
      <c r="A15" t="s">
        <v>196</v>
      </c>
      <c r="B15" s="153" t="s">
        <v>92</v>
      </c>
      <c r="C15" s="50" t="s">
        <v>156</v>
      </c>
      <c r="D15" t="s">
        <v>288</v>
      </c>
      <c r="E15" s="100">
        <v>12.433125</v>
      </c>
      <c r="F15" s="100">
        <v>3.88750600213899</v>
      </c>
      <c r="G15" t="s">
        <v>289</v>
      </c>
      <c r="H15" s="100">
        <v>13.4725</v>
      </c>
      <c r="I15" s="100">
        <v>2.895312303246981</v>
      </c>
      <c r="J15">
        <v>16</v>
      </c>
      <c r="K15" s="26">
        <f t="shared" si="0"/>
        <v>1.0393749999999997</v>
      </c>
      <c r="L15" s="44" t="s">
        <v>159</v>
      </c>
      <c r="M15">
        <v>0.5</v>
      </c>
      <c r="N15" s="45">
        <f t="shared" si="1"/>
        <v>0.94915254237288138</v>
      </c>
      <c r="O15" s="51">
        <f t="shared" si="2"/>
        <v>3.4985700354659914</v>
      </c>
      <c r="P15" s="52">
        <f t="shared" si="3"/>
        <v>3.4985700354659914</v>
      </c>
      <c r="Q15" s="26">
        <f t="shared" si="4"/>
        <v>0.29708566341778558</v>
      </c>
      <c r="R15" s="46">
        <f t="shared" si="5"/>
        <v>6.5258121606512051E-2</v>
      </c>
      <c r="T15" s="47">
        <f t="shared" si="6"/>
        <v>0.2819796127355253</v>
      </c>
      <c r="U15" s="48">
        <f t="shared" si="7"/>
        <v>5.8790424980758919E-2</v>
      </c>
      <c r="V15" s="49">
        <f t="shared" si="8"/>
        <v>0.24246736889890755</v>
      </c>
    </row>
    <row r="16" spans="1:22" ht="17" x14ac:dyDescent="0.25">
      <c r="A16" t="s">
        <v>26</v>
      </c>
      <c r="B16" s="153" t="s">
        <v>92</v>
      </c>
      <c r="C16" s="50" t="s">
        <v>156</v>
      </c>
      <c r="D16" t="s">
        <v>290</v>
      </c>
      <c r="E16" s="100">
        <v>2.5674999999999999</v>
      </c>
      <c r="F16" s="100">
        <v>0.30479957891828618</v>
      </c>
      <c r="G16" t="s">
        <v>291</v>
      </c>
      <c r="H16" s="100">
        <v>0.83250000000000002</v>
      </c>
      <c r="I16" s="100">
        <v>9.776590267190316E-2</v>
      </c>
      <c r="J16">
        <v>3</v>
      </c>
      <c r="K16" s="26">
        <f t="shared" si="0"/>
        <v>-1.7349999999999999</v>
      </c>
      <c r="L16" s="44" t="s">
        <v>159</v>
      </c>
      <c r="M16">
        <v>0.5</v>
      </c>
      <c r="N16" s="45">
        <f t="shared" si="1"/>
        <v>0.5714285714285714</v>
      </c>
      <c r="O16" s="51">
        <f t="shared" si="2"/>
        <v>0.26955880446955238</v>
      </c>
      <c r="P16" s="52">
        <f t="shared" si="3"/>
        <v>0.26955880446955238</v>
      </c>
      <c r="Q16" s="26">
        <f t="shared" si="4"/>
        <v>-6.436443444739993</v>
      </c>
      <c r="R16" s="46">
        <f t="shared" si="5"/>
        <v>7.2379673695560713</v>
      </c>
      <c r="T16" s="47">
        <f t="shared" si="6"/>
        <v>-3.6779676827085672</v>
      </c>
      <c r="U16" s="48">
        <f t="shared" si="7"/>
        <v>2.3634179165897375</v>
      </c>
      <c r="V16" s="49">
        <f t="shared" si="8"/>
        <v>1.5373411841844795</v>
      </c>
    </row>
    <row r="17" spans="1:22" ht="17" x14ac:dyDescent="0.25">
      <c r="A17" t="s">
        <v>197</v>
      </c>
      <c r="B17" s="153" t="s">
        <v>92</v>
      </c>
      <c r="C17" s="50" t="s">
        <v>156</v>
      </c>
      <c r="D17" t="s">
        <v>296</v>
      </c>
      <c r="E17" s="100">
        <v>0.05</v>
      </c>
      <c r="F17" s="100">
        <v>5.2915026221291822E-2</v>
      </c>
      <c r="G17" t="s">
        <v>297</v>
      </c>
      <c r="H17" s="100">
        <v>0.06</v>
      </c>
      <c r="I17" s="100">
        <v>7.9372539331937719E-2</v>
      </c>
      <c r="J17">
        <v>7</v>
      </c>
      <c r="K17" s="26">
        <f t="shared" si="0"/>
        <v>9.999999999999995E-3</v>
      </c>
      <c r="L17" s="44" t="s">
        <v>159</v>
      </c>
      <c r="M17">
        <v>0.5</v>
      </c>
      <c r="N17" s="45">
        <f t="shared" si="1"/>
        <v>0.86956521739130432</v>
      </c>
      <c r="O17" s="51">
        <f t="shared" si="2"/>
        <v>6.9999999999999993E-2</v>
      </c>
      <c r="P17" s="52">
        <f t="shared" si="3"/>
        <v>6.9999999999999993E-2</v>
      </c>
      <c r="Q17" s="26">
        <f t="shared" si="4"/>
        <v>0.14285714285714279</v>
      </c>
      <c r="R17" s="46">
        <f t="shared" si="5"/>
        <v>0.14431486880466471</v>
      </c>
      <c r="T17" s="47">
        <f t="shared" si="6"/>
        <v>0.12422360248447199</v>
      </c>
      <c r="U17" s="48">
        <f t="shared" si="7"/>
        <v>0.10912277414341377</v>
      </c>
      <c r="V17" s="49">
        <f t="shared" si="8"/>
        <v>0.33033736413462794</v>
      </c>
    </row>
    <row r="18" spans="1:22" ht="17" x14ac:dyDescent="0.25">
      <c r="A18" t="s">
        <v>198</v>
      </c>
      <c r="B18" s="153" t="s">
        <v>92</v>
      </c>
      <c r="C18" s="50" t="s">
        <v>156</v>
      </c>
      <c r="D18" t="s">
        <v>369</v>
      </c>
      <c r="E18" s="100">
        <v>0.05</v>
      </c>
      <c r="F18" s="100">
        <v>5.2915026221291822E-2</v>
      </c>
      <c r="G18" t="s">
        <v>370</v>
      </c>
      <c r="H18" s="100">
        <v>0.05</v>
      </c>
      <c r="I18" s="100">
        <v>5.2915026221291822E-2</v>
      </c>
      <c r="J18">
        <v>7</v>
      </c>
      <c r="K18" s="26">
        <f t="shared" si="0"/>
        <v>0</v>
      </c>
      <c r="L18" s="44" t="s">
        <v>159</v>
      </c>
      <c r="M18">
        <v>0.5</v>
      </c>
      <c r="N18" s="45">
        <f t="shared" si="1"/>
        <v>0.86956521739130432</v>
      </c>
      <c r="O18" s="51">
        <f t="shared" si="2"/>
        <v>5.2915026221291822E-2</v>
      </c>
      <c r="P18" s="52">
        <f t="shared" si="3"/>
        <v>5.2915026221291822E-2</v>
      </c>
      <c r="Q18" s="26">
        <f t="shared" si="4"/>
        <v>0</v>
      </c>
      <c r="R18" s="46">
        <f t="shared" si="5"/>
        <v>0.14285714285714285</v>
      </c>
      <c r="T18" s="47">
        <f t="shared" si="6"/>
        <v>0</v>
      </c>
      <c r="U18" s="48">
        <f t="shared" si="7"/>
        <v>0.10802052389954091</v>
      </c>
      <c r="V18" s="49">
        <f t="shared" si="8"/>
        <v>0.32866475913845844</v>
      </c>
    </row>
    <row r="19" spans="1:22" ht="17" x14ac:dyDescent="0.25">
      <c r="A19" t="s">
        <v>199</v>
      </c>
      <c r="B19" s="153" t="s">
        <v>92</v>
      </c>
      <c r="C19" s="50" t="s">
        <v>156</v>
      </c>
      <c r="D19" t="s">
        <v>371</v>
      </c>
      <c r="E19" s="100">
        <v>0.03</v>
      </c>
      <c r="F19" s="100">
        <v>2.6457513110645911E-2</v>
      </c>
      <c r="G19" t="s">
        <v>372</v>
      </c>
      <c r="H19" s="100">
        <v>0.04</v>
      </c>
      <c r="I19" s="100">
        <v>2.6457513110645911E-2</v>
      </c>
      <c r="J19">
        <v>7</v>
      </c>
      <c r="K19" s="26">
        <f t="shared" si="0"/>
        <v>1.0000000000000002E-2</v>
      </c>
      <c r="L19" s="44" t="s">
        <v>159</v>
      </c>
      <c r="M19">
        <v>0.5</v>
      </c>
      <c r="N19" s="45">
        <f t="shared" si="1"/>
        <v>0.86956521739130432</v>
      </c>
      <c r="O19" s="51">
        <f t="shared" si="2"/>
        <v>2.6457513110645911E-2</v>
      </c>
      <c r="P19" s="52">
        <f t="shared" si="3"/>
        <v>2.6457513110645911E-2</v>
      </c>
      <c r="Q19" s="26">
        <f t="shared" si="4"/>
        <v>0.37796447300922725</v>
      </c>
      <c r="R19" s="46">
        <f t="shared" si="5"/>
        <v>0.15306122448979592</v>
      </c>
      <c r="T19" s="47">
        <f t="shared" si="6"/>
        <v>0.3286647591384585</v>
      </c>
      <c r="U19" s="48">
        <f t="shared" si="7"/>
        <v>0.11573627560665098</v>
      </c>
      <c r="V19" s="49">
        <f t="shared" si="8"/>
        <v>0.3402003462765007</v>
      </c>
    </row>
    <row r="20" spans="1:22" ht="17" x14ac:dyDescent="0.25">
      <c r="A20" t="s">
        <v>42</v>
      </c>
      <c r="B20" s="153" t="s">
        <v>92</v>
      </c>
      <c r="C20" s="50" t="s">
        <v>156</v>
      </c>
      <c r="D20" t="s">
        <v>292</v>
      </c>
      <c r="E20" s="100">
        <v>1.406666666666667</v>
      </c>
      <c r="F20" s="100">
        <v>0.41109967357747079</v>
      </c>
      <c r="G20" t="s">
        <v>293</v>
      </c>
      <c r="H20" s="100">
        <v>1.476666666666667</v>
      </c>
      <c r="I20" s="100">
        <v>0.46358048297033949</v>
      </c>
      <c r="J20">
        <v>9</v>
      </c>
      <c r="K20" s="26">
        <f t="shared" si="0"/>
        <v>7.0000000000000062E-2</v>
      </c>
      <c r="L20" s="44" t="s">
        <v>159</v>
      </c>
      <c r="M20">
        <v>0.5</v>
      </c>
      <c r="N20" s="45">
        <f t="shared" si="1"/>
        <v>0.90322580645161288</v>
      </c>
      <c r="O20" s="51">
        <f t="shared" si="2"/>
        <v>0.43969537248022456</v>
      </c>
      <c r="P20" s="52">
        <f t="shared" si="3"/>
        <v>0.43969537248022456</v>
      </c>
      <c r="Q20" s="26">
        <f t="shared" si="4"/>
        <v>0.15920112964834157</v>
      </c>
      <c r="R20" s="46">
        <f t="shared" si="5"/>
        <v>0.11251916664896155</v>
      </c>
      <c r="T20" s="47">
        <f t="shared" si="6"/>
        <v>0.14379456871463109</v>
      </c>
      <c r="U20" s="48">
        <f t="shared" si="7"/>
        <v>9.1795032937342202E-2</v>
      </c>
      <c r="V20" s="49">
        <f t="shared" si="8"/>
        <v>0.30297695116517065</v>
      </c>
    </row>
    <row r="21" spans="1:22" ht="17" x14ac:dyDescent="0.25">
      <c r="A21" t="s">
        <v>47</v>
      </c>
      <c r="B21" s="153" t="s">
        <v>92</v>
      </c>
      <c r="C21" s="50" t="s">
        <v>156</v>
      </c>
      <c r="D21" t="s">
        <v>294</v>
      </c>
      <c r="E21" s="100">
        <v>651</v>
      </c>
      <c r="F21" s="100">
        <v>143</v>
      </c>
      <c r="G21" t="s">
        <v>295</v>
      </c>
      <c r="H21" s="100">
        <v>808</v>
      </c>
      <c r="I21" s="100">
        <v>194</v>
      </c>
      <c r="J21">
        <v>18</v>
      </c>
      <c r="K21" s="26">
        <f t="shared" si="0"/>
        <v>157</v>
      </c>
      <c r="L21" s="44" t="s">
        <v>159</v>
      </c>
      <c r="M21">
        <v>0.5</v>
      </c>
      <c r="N21" s="45">
        <f t="shared" si="1"/>
        <v>0.95522388059701491</v>
      </c>
      <c r="O21" s="51">
        <f t="shared" si="2"/>
        <v>174.19242233805696</v>
      </c>
      <c r="P21" s="52">
        <f t="shared" si="3"/>
        <v>174.19242233805696</v>
      </c>
      <c r="Q21" s="26">
        <f t="shared" si="4"/>
        <v>0.90130212263371912</v>
      </c>
      <c r="R21" s="46">
        <f t="shared" si="5"/>
        <v>7.812070878511243E-2</v>
      </c>
      <c r="T21" s="47">
        <f t="shared" si="6"/>
        <v>0.86094531117250783</v>
      </c>
      <c r="U21" s="48">
        <f t="shared" si="7"/>
        <v>7.1281448693210181E-2</v>
      </c>
      <c r="V21" s="49">
        <f t="shared" si="8"/>
        <v>0.26698585860155621</v>
      </c>
    </row>
  </sheetData>
  <mergeCells count="2">
    <mergeCell ref="D3:F3"/>
    <mergeCell ref="G3:I3"/>
  </mergeCells>
  <phoneticPr fontId="3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07E9-59BB-4291-B7A9-0E1ED2A7F05D}">
  <sheetPr>
    <tabColor theme="5"/>
  </sheetPr>
  <dimension ref="A1:V8"/>
  <sheetViews>
    <sheetView workbookViewId="0">
      <selection activeCell="H16" sqref="H16"/>
    </sheetView>
  </sheetViews>
  <sheetFormatPr baseColWidth="10" defaultColWidth="11.5" defaultRowHeight="15" x14ac:dyDescent="0.2"/>
  <cols>
    <col min="1" max="1" width="23.33203125" customWidth="1"/>
  </cols>
  <sheetData>
    <row r="1" spans="1:22" ht="24" x14ac:dyDescent="0.3">
      <c r="A1" s="18" t="s">
        <v>174</v>
      </c>
    </row>
    <row r="2" spans="1:22" s="35" customFormat="1" ht="17" x14ac:dyDescent="0.25">
      <c r="A2" s="27" t="s">
        <v>123</v>
      </c>
      <c r="B2" s="28" t="s">
        <v>124</v>
      </c>
      <c r="C2" s="29" t="s">
        <v>125</v>
      </c>
      <c r="D2" s="28" t="s">
        <v>126</v>
      </c>
      <c r="E2" s="27" t="s">
        <v>127</v>
      </c>
      <c r="F2" s="27" t="s">
        <v>128</v>
      </c>
      <c r="G2" s="28" t="s">
        <v>129</v>
      </c>
      <c r="H2" s="27" t="s">
        <v>130</v>
      </c>
      <c r="I2" s="27" t="s">
        <v>131</v>
      </c>
      <c r="J2" s="27" t="s">
        <v>3</v>
      </c>
      <c r="K2" s="27" t="s">
        <v>132</v>
      </c>
      <c r="L2" s="30" t="s">
        <v>133</v>
      </c>
      <c r="M2" s="31" t="s">
        <v>134</v>
      </c>
      <c r="N2" s="32" t="s">
        <v>135</v>
      </c>
      <c r="O2" s="31" t="s">
        <v>136</v>
      </c>
      <c r="P2" s="33" t="s">
        <v>137</v>
      </c>
      <c r="Q2" s="31" t="s">
        <v>138</v>
      </c>
      <c r="R2" s="34" t="s">
        <v>139</v>
      </c>
      <c r="T2" s="36" t="s">
        <v>140</v>
      </c>
      <c r="U2" s="37" t="s">
        <v>141</v>
      </c>
      <c r="V2" s="38" t="s">
        <v>142</v>
      </c>
    </row>
    <row r="3" spans="1:22" ht="16" x14ac:dyDescent="0.2">
      <c r="A3" s="19" t="s">
        <v>143</v>
      </c>
      <c r="B3" s="20" t="s">
        <v>144</v>
      </c>
      <c r="C3" s="20"/>
      <c r="D3" s="239" t="s">
        <v>145</v>
      </c>
      <c r="E3" s="240"/>
      <c r="F3" s="241"/>
      <c r="G3" s="242" t="s">
        <v>146</v>
      </c>
      <c r="H3" s="243"/>
      <c r="I3" s="244"/>
      <c r="J3" s="54"/>
      <c r="K3" s="40" t="s">
        <v>147</v>
      </c>
      <c r="L3" s="41"/>
      <c r="M3" s="39"/>
      <c r="N3" s="21" t="s">
        <v>148</v>
      </c>
      <c r="O3" s="42" t="s">
        <v>149</v>
      </c>
      <c r="P3" s="23" t="s">
        <v>150</v>
      </c>
      <c r="Q3" s="42" t="s">
        <v>151</v>
      </c>
      <c r="R3" s="21" t="s">
        <v>152</v>
      </c>
      <c r="T3" s="22" t="s">
        <v>153</v>
      </c>
      <c r="U3" s="23" t="s">
        <v>154</v>
      </c>
      <c r="V3" s="24" t="s">
        <v>155</v>
      </c>
    </row>
    <row r="4" spans="1:22" ht="17" x14ac:dyDescent="0.25">
      <c r="A4" s="43" t="s">
        <v>12</v>
      </c>
      <c r="B4" s="153" t="s">
        <v>92</v>
      </c>
      <c r="C4" s="50" t="s">
        <v>171</v>
      </c>
      <c r="D4" t="s">
        <v>270</v>
      </c>
      <c r="E4">
        <v>3.62</v>
      </c>
      <c r="F4">
        <v>1.6625610443173311</v>
      </c>
      <c r="G4" t="s">
        <v>302</v>
      </c>
      <c r="H4">
        <v>3.723333333333334</v>
      </c>
      <c r="I4">
        <v>2.2412425127813749</v>
      </c>
      <c r="J4">
        <v>7</v>
      </c>
      <c r="K4" s="26">
        <f>H4-E4</f>
        <v>0.10333333333333394</v>
      </c>
      <c r="L4" s="44" t="s">
        <v>159</v>
      </c>
      <c r="M4">
        <v>0.5</v>
      </c>
      <c r="N4" s="45">
        <f>1-(3/(4*(J4-1)-1))</f>
        <v>0.86956521739130432</v>
      </c>
      <c r="O4" s="51">
        <f>SQRT((F4^2+I4^2-2*M4*F4*I4))</f>
        <v>2.0152108412178373</v>
      </c>
      <c r="P4" s="52">
        <f>O4/SQRT(2*(1-M4))</f>
        <v>2.0152108412178373</v>
      </c>
      <c r="Q4" s="26">
        <f>K4/P4</f>
        <v>5.1276685902943674E-2</v>
      </c>
      <c r="R4" s="46">
        <f>((1/J4)+(Q4^2/(2*J4)))*2*(1-M4)</f>
        <v>0.14304494989408492</v>
      </c>
      <c r="T4" s="47">
        <f>Q4*N4</f>
        <v>4.4588422524298843E-2</v>
      </c>
      <c r="U4" s="48">
        <f>N4^2*R4</f>
        <v>0.10816253300119844</v>
      </c>
      <c r="V4" s="49">
        <f>SQRT(U4)</f>
        <v>0.32888072762203385</v>
      </c>
    </row>
    <row r="5" spans="1:22" ht="17" x14ac:dyDescent="0.25">
      <c r="A5" t="s">
        <v>197</v>
      </c>
      <c r="B5" s="153" t="s">
        <v>92</v>
      </c>
      <c r="C5" s="50" t="s">
        <v>171</v>
      </c>
      <c r="D5" t="s">
        <v>296</v>
      </c>
      <c r="E5">
        <v>0.05</v>
      </c>
      <c r="F5">
        <v>5.2915026221291822E-2</v>
      </c>
      <c r="G5" t="s">
        <v>304</v>
      </c>
      <c r="H5">
        <v>0.05</v>
      </c>
      <c r="I5">
        <v>5.2915026221291822E-2</v>
      </c>
      <c r="J5">
        <v>7</v>
      </c>
      <c r="K5" s="26">
        <f>H5-E5</f>
        <v>0</v>
      </c>
      <c r="L5" s="44" t="s">
        <v>159</v>
      </c>
      <c r="M5">
        <v>0.5</v>
      </c>
      <c r="N5" s="45">
        <f>1-(3/(4*(J5-1)-1))</f>
        <v>0.86956521739130432</v>
      </c>
      <c r="O5" s="51">
        <f>SQRT((F5^2+I5^2-2*M5*F5*I5))</f>
        <v>5.2915026221291822E-2</v>
      </c>
      <c r="P5" s="52">
        <f>O5/SQRT(2*(1-M5))</f>
        <v>5.2915026221291822E-2</v>
      </c>
      <c r="Q5" s="26">
        <f>K5/P5</f>
        <v>0</v>
      </c>
      <c r="R5" s="46">
        <f>((1/J5)+(Q5^2/(2*J5)))*2*(1-M5)</f>
        <v>0.14285714285714285</v>
      </c>
      <c r="T5" s="47">
        <f>Q5*N5</f>
        <v>0</v>
      </c>
      <c r="U5" s="48">
        <f>N5^2*R5</f>
        <v>0.10802052389954091</v>
      </c>
      <c r="V5" s="49">
        <f>SQRT(U5)</f>
        <v>0.32866475913845844</v>
      </c>
    </row>
    <row r="6" spans="1:22" ht="17" x14ac:dyDescent="0.25">
      <c r="A6" t="s">
        <v>198</v>
      </c>
      <c r="B6" s="205" t="s">
        <v>92</v>
      </c>
      <c r="C6" s="50" t="s">
        <v>171</v>
      </c>
      <c r="D6" t="s">
        <v>369</v>
      </c>
      <c r="E6">
        <v>0.05</v>
      </c>
      <c r="F6">
        <v>5.2915026221291822E-2</v>
      </c>
      <c r="G6" t="s">
        <v>373</v>
      </c>
      <c r="H6">
        <v>0.05</v>
      </c>
      <c r="I6">
        <v>2.6457513110645911E-2</v>
      </c>
      <c r="J6">
        <v>7</v>
      </c>
      <c r="K6" s="26">
        <f>H6-E6</f>
        <v>0</v>
      </c>
      <c r="L6" s="44" t="s">
        <v>159</v>
      </c>
      <c r="M6">
        <v>0.5</v>
      </c>
      <c r="N6" s="45">
        <f t="shared" ref="N6:N8" si="0">1-(3/(4*(J6-1)-1))</f>
        <v>0.86956521739130432</v>
      </c>
      <c r="O6" s="51">
        <f t="shared" ref="O6:O8" si="1">SQRT((F6^2+I6^2-2*M6*F6*I6))</f>
        <v>4.5825756949558406E-2</v>
      </c>
      <c r="P6" s="52">
        <f t="shared" ref="P6:P8" si="2">O6/SQRT(2*(1-M6))</f>
        <v>4.5825756949558406E-2</v>
      </c>
      <c r="Q6" s="26">
        <f t="shared" ref="Q6:Q8" si="3">K6/P6</f>
        <v>0</v>
      </c>
      <c r="R6" s="46">
        <f t="shared" ref="R6:R8" si="4">((1/J6)+(Q6^2/(2*J6)))*2*(1-M6)</f>
        <v>0.14285714285714285</v>
      </c>
      <c r="T6" s="47">
        <f t="shared" ref="T6:T8" si="5">Q6*N6</f>
        <v>0</v>
      </c>
      <c r="U6" s="48">
        <f t="shared" ref="U6:U8" si="6">N6^2*R6</f>
        <v>0.10802052389954091</v>
      </c>
      <c r="V6" s="49">
        <f t="shared" ref="V6:V8" si="7">SQRT(U6)</f>
        <v>0.32866475913845844</v>
      </c>
    </row>
    <row r="7" spans="1:22" ht="17" x14ac:dyDescent="0.25">
      <c r="A7" t="s">
        <v>199</v>
      </c>
      <c r="B7" s="205" t="s">
        <v>92</v>
      </c>
      <c r="C7" s="50" t="s">
        <v>171</v>
      </c>
      <c r="D7" t="s">
        <v>371</v>
      </c>
      <c r="E7">
        <v>0.03</v>
      </c>
      <c r="F7">
        <v>2.6457513110645911E-2</v>
      </c>
      <c r="G7" t="s">
        <v>374</v>
      </c>
      <c r="H7">
        <v>0.04</v>
      </c>
      <c r="I7">
        <v>2.6457513110645911E-2</v>
      </c>
      <c r="J7">
        <v>7</v>
      </c>
      <c r="K7" s="26">
        <f t="shared" ref="K7:K8" si="8">H7-E7</f>
        <v>1.0000000000000002E-2</v>
      </c>
      <c r="L7" s="44" t="s">
        <v>159</v>
      </c>
      <c r="M7">
        <v>0.5</v>
      </c>
      <c r="N7" s="45">
        <f t="shared" si="0"/>
        <v>0.86956521739130432</v>
      </c>
      <c r="O7" s="51">
        <f t="shared" si="1"/>
        <v>2.6457513110645911E-2</v>
      </c>
      <c r="P7" s="52">
        <f t="shared" si="2"/>
        <v>2.6457513110645911E-2</v>
      </c>
      <c r="Q7" s="26">
        <f t="shared" si="3"/>
        <v>0.37796447300922725</v>
      </c>
      <c r="R7" s="46">
        <f t="shared" si="4"/>
        <v>0.15306122448979592</v>
      </c>
      <c r="T7" s="47">
        <f t="shared" si="5"/>
        <v>0.3286647591384585</v>
      </c>
      <c r="U7" s="48">
        <f t="shared" si="6"/>
        <v>0.11573627560665098</v>
      </c>
      <c r="V7" s="49">
        <f t="shared" si="7"/>
        <v>0.3402003462765007</v>
      </c>
    </row>
    <row r="8" spans="1:22" ht="17" x14ac:dyDescent="0.25">
      <c r="A8" t="s">
        <v>42</v>
      </c>
      <c r="B8" s="205" t="s">
        <v>92</v>
      </c>
      <c r="C8" s="50" t="s">
        <v>171</v>
      </c>
      <c r="D8" t="s">
        <v>292</v>
      </c>
      <c r="E8">
        <v>1.406666666666667</v>
      </c>
      <c r="F8">
        <v>0.41109967357747079</v>
      </c>
      <c r="G8" t="s">
        <v>303</v>
      </c>
      <c r="H8">
        <v>1.43</v>
      </c>
      <c r="I8">
        <v>0.97089497376806955</v>
      </c>
      <c r="J8">
        <v>9</v>
      </c>
      <c r="K8" s="26">
        <f t="shared" si="8"/>
        <v>2.3333333333332984E-2</v>
      </c>
      <c r="L8" s="44" t="s">
        <v>159</v>
      </c>
      <c r="M8">
        <v>0.5</v>
      </c>
      <c r="N8" s="45">
        <f t="shared" si="0"/>
        <v>0.90322580645161288</v>
      </c>
      <c r="O8" s="51">
        <f t="shared" si="1"/>
        <v>0.84410034054580452</v>
      </c>
      <c r="P8" s="52">
        <f t="shared" si="2"/>
        <v>0.84410034054580452</v>
      </c>
      <c r="Q8" s="26">
        <f t="shared" si="3"/>
        <v>2.7642843169859873E-2</v>
      </c>
      <c r="R8" s="46">
        <f t="shared" si="4"/>
        <v>0.11115356259880629</v>
      </c>
      <c r="T8" s="47">
        <f t="shared" si="5"/>
        <v>2.4967729314712143E-2</v>
      </c>
      <c r="U8" s="48">
        <f t="shared" si="6"/>
        <v>9.0680950132636967E-2</v>
      </c>
      <c r="V8" s="49">
        <f t="shared" si="7"/>
        <v>0.30113277824348011</v>
      </c>
    </row>
  </sheetData>
  <mergeCells count="2">
    <mergeCell ref="D3:F3"/>
    <mergeCell ref="G3:I3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01DB-0ED2-4A54-A4DB-8A027D2CA9FD}">
  <sheetPr>
    <tabColor theme="5"/>
  </sheetPr>
  <dimension ref="A1:V14"/>
  <sheetViews>
    <sheetView workbookViewId="0">
      <selection activeCell="A4" sqref="A4:A14"/>
    </sheetView>
  </sheetViews>
  <sheetFormatPr baseColWidth="10" defaultColWidth="11.5" defaultRowHeight="15" x14ac:dyDescent="0.2"/>
  <cols>
    <col min="1" max="1" width="29.5" bestFit="1" customWidth="1"/>
  </cols>
  <sheetData>
    <row r="1" spans="1:22" ht="24" x14ac:dyDescent="0.3">
      <c r="A1" s="18" t="s">
        <v>175</v>
      </c>
    </row>
    <row r="2" spans="1:22" s="35" customFormat="1" ht="17" x14ac:dyDescent="0.25">
      <c r="A2" s="27" t="s">
        <v>123</v>
      </c>
      <c r="B2" s="28" t="s">
        <v>124</v>
      </c>
      <c r="C2" s="29" t="s">
        <v>125</v>
      </c>
      <c r="D2" s="28" t="s">
        <v>126</v>
      </c>
      <c r="E2" s="27" t="s">
        <v>127</v>
      </c>
      <c r="F2" s="27" t="s">
        <v>128</v>
      </c>
      <c r="G2" s="28" t="s">
        <v>129</v>
      </c>
      <c r="H2" s="27" t="s">
        <v>130</v>
      </c>
      <c r="I2" s="27" t="s">
        <v>131</v>
      </c>
      <c r="J2" s="27" t="s">
        <v>3</v>
      </c>
      <c r="K2" s="27" t="s">
        <v>132</v>
      </c>
      <c r="L2" s="30" t="s">
        <v>133</v>
      </c>
      <c r="M2" s="31" t="s">
        <v>134</v>
      </c>
      <c r="N2" s="32" t="s">
        <v>135</v>
      </c>
      <c r="O2" s="31" t="s">
        <v>136</v>
      </c>
      <c r="P2" s="33" t="s">
        <v>137</v>
      </c>
      <c r="Q2" s="31" t="s">
        <v>138</v>
      </c>
      <c r="R2" s="34" t="s">
        <v>139</v>
      </c>
      <c r="T2" s="36" t="s">
        <v>140</v>
      </c>
      <c r="U2" s="37" t="s">
        <v>141</v>
      </c>
      <c r="V2" s="38" t="s">
        <v>142</v>
      </c>
    </row>
    <row r="3" spans="1:22" ht="16" x14ac:dyDescent="0.2">
      <c r="A3" s="19" t="s">
        <v>143</v>
      </c>
      <c r="B3" s="20" t="s">
        <v>144</v>
      </c>
      <c r="C3" s="20"/>
      <c r="D3" s="239" t="s">
        <v>145</v>
      </c>
      <c r="E3" s="240"/>
      <c r="F3" s="241"/>
      <c r="G3" s="242" t="s">
        <v>146</v>
      </c>
      <c r="H3" s="243"/>
      <c r="I3" s="244"/>
      <c r="J3" s="54"/>
      <c r="K3" s="40" t="s">
        <v>147</v>
      </c>
      <c r="L3" s="41"/>
      <c r="M3" s="39"/>
      <c r="N3" s="21" t="s">
        <v>148</v>
      </c>
      <c r="O3" s="42" t="s">
        <v>149</v>
      </c>
      <c r="P3" s="23" t="s">
        <v>150</v>
      </c>
      <c r="Q3" s="42" t="s">
        <v>151</v>
      </c>
      <c r="R3" s="21" t="s">
        <v>152</v>
      </c>
      <c r="T3" s="22" t="s">
        <v>153</v>
      </c>
      <c r="U3" s="23" t="s">
        <v>154</v>
      </c>
      <c r="V3" s="24" t="s">
        <v>155</v>
      </c>
    </row>
    <row r="4" spans="1:22" ht="17" x14ac:dyDescent="0.25">
      <c r="A4" t="s">
        <v>228</v>
      </c>
      <c r="B4" s="153" t="s">
        <v>92</v>
      </c>
      <c r="C4" s="50" t="s">
        <v>172</v>
      </c>
      <c r="D4" t="s">
        <v>272</v>
      </c>
      <c r="E4" s="100">
        <v>14.84</v>
      </c>
      <c r="F4" s="100">
        <v>6.87</v>
      </c>
      <c r="G4" t="s">
        <v>305</v>
      </c>
      <c r="H4" s="100">
        <v>13.58</v>
      </c>
      <c r="I4" s="100">
        <v>3.25</v>
      </c>
      <c r="J4">
        <v>14</v>
      </c>
      <c r="K4" s="26">
        <f>H4-E4</f>
        <v>-1.2599999999999998</v>
      </c>
      <c r="L4" s="44" t="s">
        <v>159</v>
      </c>
      <c r="M4">
        <v>0.5</v>
      </c>
      <c r="N4" s="45">
        <f>1-(3/(4*(J4-1)-1))</f>
        <v>0.94117647058823528</v>
      </c>
      <c r="O4" s="51">
        <f>SQRT((F4^2+I4^2-2*M4*F4*I4))</f>
        <v>5.9524700755232693</v>
      </c>
      <c r="P4" s="52">
        <f>O4/SQRT(2*(1-M4))</f>
        <v>5.9524700755232693</v>
      </c>
      <c r="Q4" s="26">
        <f>K4/P4</f>
        <v>-0.21167683062887735</v>
      </c>
      <c r="R4" s="46">
        <f>((1/J4)+(Q4^2/(2*J4)))*2*(1-M4)</f>
        <v>7.3028824308038795E-2</v>
      </c>
      <c r="T4" s="47">
        <f>Q4*N4</f>
        <v>-0.19922525235659044</v>
      </c>
      <c r="U4" s="48">
        <f>N4^2*R4</f>
        <v>6.4689892812657204E-2</v>
      </c>
      <c r="V4" s="49">
        <f>SQRT(U4)</f>
        <v>0.25434207833674949</v>
      </c>
    </row>
    <row r="5" spans="1:22" ht="17" x14ac:dyDescent="0.25">
      <c r="A5" t="s">
        <v>229</v>
      </c>
      <c r="B5" s="205" t="s">
        <v>92</v>
      </c>
      <c r="C5" s="50" t="s">
        <v>172</v>
      </c>
      <c r="D5" t="s">
        <v>274</v>
      </c>
      <c r="E5" s="100">
        <v>17.649999999999999</v>
      </c>
      <c r="F5" s="100">
        <v>6.72</v>
      </c>
      <c r="G5" t="s">
        <v>306</v>
      </c>
      <c r="H5" s="100">
        <v>16.100000000000001</v>
      </c>
      <c r="I5" s="100">
        <v>3.85</v>
      </c>
      <c r="J5">
        <v>14</v>
      </c>
      <c r="K5" s="26">
        <f t="shared" ref="K5:K11" si="0">H5-E5</f>
        <v>-1.5499999999999972</v>
      </c>
      <c r="L5" s="44" t="s">
        <v>159</v>
      </c>
      <c r="M5">
        <v>0.5</v>
      </c>
      <c r="N5" s="45">
        <f t="shared" ref="N5:N11" si="1">1-(3/(4*(J5-1)-1))</f>
        <v>0.94117647058823528</v>
      </c>
      <c r="O5" s="51">
        <f t="shared" ref="O5:O14" si="2">SQRT((F5^2+I5^2-2*M5*F5*I5))</f>
        <v>5.8402825274125219</v>
      </c>
      <c r="P5" s="52">
        <f t="shared" ref="P5:P11" si="3">O5/SQRT(2*(1-M5))</f>
        <v>5.8402825274125219</v>
      </c>
      <c r="Q5" s="26">
        <f t="shared" ref="Q5:Q11" si="4">K5/P5</f>
        <v>-0.26539811947876929</v>
      </c>
      <c r="R5" s="46">
        <f t="shared" ref="R5:R11" si="5">((1/J5)+(Q5^2/(2*J5)))*2*(1-M5)</f>
        <v>7.3944148636530968E-2</v>
      </c>
      <c r="T5" s="47">
        <f t="shared" ref="T5:T14" si="6">Q5*N5</f>
        <v>-0.24978646539178287</v>
      </c>
      <c r="U5" s="48">
        <f t="shared" ref="U5:U14" si="7">N5^2*R5</f>
        <v>6.5500699138241969E-2</v>
      </c>
      <c r="V5" s="49">
        <f t="shared" ref="V5:V14" si="8">SQRT(U5)</f>
        <v>0.25593104371733016</v>
      </c>
    </row>
    <row r="6" spans="1:22" ht="17" x14ac:dyDescent="0.25">
      <c r="A6" t="s">
        <v>28</v>
      </c>
      <c r="B6" s="205" t="s">
        <v>92</v>
      </c>
      <c r="C6" s="50" t="s">
        <v>172</v>
      </c>
      <c r="D6" t="s">
        <v>276</v>
      </c>
      <c r="E6" s="100">
        <v>10.02290322580645</v>
      </c>
      <c r="F6" s="100">
        <v>2.0508342912879591</v>
      </c>
      <c r="G6" t="s">
        <v>307</v>
      </c>
      <c r="H6" s="100">
        <v>10.453225806451609</v>
      </c>
      <c r="I6" s="100">
        <v>1.310390239831311</v>
      </c>
      <c r="J6">
        <v>31</v>
      </c>
      <c r="K6" s="26">
        <f t="shared" si="0"/>
        <v>0.43032258064515894</v>
      </c>
      <c r="L6" s="44" t="s">
        <v>159</v>
      </c>
      <c r="M6">
        <v>0.5</v>
      </c>
      <c r="N6" s="45">
        <f t="shared" si="1"/>
        <v>0.97478991596638653</v>
      </c>
      <c r="O6" s="51">
        <f t="shared" si="2"/>
        <v>1.7987914365352755</v>
      </c>
      <c r="P6" s="52">
        <f t="shared" si="3"/>
        <v>1.7987914365352755</v>
      </c>
      <c r="Q6" s="26">
        <f t="shared" si="4"/>
        <v>0.23922872430058958</v>
      </c>
      <c r="R6" s="46">
        <f t="shared" si="5"/>
        <v>3.3181135202104639E-2</v>
      </c>
      <c r="T6" s="47">
        <f t="shared" si="6"/>
        <v>0.23319774805771756</v>
      </c>
      <c r="U6" s="48">
        <f t="shared" si="7"/>
        <v>3.1529225003850012E-2</v>
      </c>
      <c r="V6" s="49">
        <f t="shared" si="8"/>
        <v>0.17756470652652237</v>
      </c>
    </row>
    <row r="7" spans="1:22" ht="17" x14ac:dyDescent="0.25">
      <c r="A7" t="s">
        <v>32</v>
      </c>
      <c r="B7" s="153" t="s">
        <v>92</v>
      </c>
      <c r="C7" s="50" t="s">
        <v>172</v>
      </c>
      <c r="D7" t="s">
        <v>278</v>
      </c>
      <c r="E7" s="100">
        <v>10.14</v>
      </c>
      <c r="F7" s="100">
        <v>1.154899707045306</v>
      </c>
      <c r="G7" t="s">
        <v>308</v>
      </c>
      <c r="H7" s="100">
        <v>11.082903225806451</v>
      </c>
      <c r="I7" s="100">
        <v>1.407999037756269</v>
      </c>
      <c r="J7">
        <v>31</v>
      </c>
      <c r="K7" s="26">
        <f t="shared" si="0"/>
        <v>0.94290322580645025</v>
      </c>
      <c r="L7" s="44" t="s">
        <v>159</v>
      </c>
      <c r="M7">
        <v>0.5</v>
      </c>
      <c r="N7" s="45">
        <f t="shared" si="1"/>
        <v>0.97478991596638653</v>
      </c>
      <c r="O7" s="51">
        <f t="shared" si="2"/>
        <v>1.3000603629951668</v>
      </c>
      <c r="P7" s="52">
        <f t="shared" si="3"/>
        <v>1.3000603629951668</v>
      </c>
      <c r="Q7" s="26">
        <f t="shared" si="4"/>
        <v>0.7252764968805957</v>
      </c>
      <c r="R7" s="46">
        <f t="shared" si="5"/>
        <v>4.0742354789151433E-2</v>
      </c>
      <c r="T7" s="47">
        <f t="shared" si="6"/>
        <v>0.70699221544663104</v>
      </c>
      <c r="U7" s="48">
        <f t="shared" si="7"/>
        <v>3.8714012149058799E-2</v>
      </c>
      <c r="V7" s="49">
        <f t="shared" si="8"/>
        <v>0.19675876638426762</v>
      </c>
    </row>
    <row r="8" spans="1:22" ht="17" x14ac:dyDescent="0.25">
      <c r="A8" t="s">
        <v>35</v>
      </c>
      <c r="B8" s="153" t="s">
        <v>92</v>
      </c>
      <c r="C8" s="50" t="s">
        <v>172</v>
      </c>
      <c r="D8" t="s">
        <v>280</v>
      </c>
      <c r="E8" s="100">
        <v>10.11375</v>
      </c>
      <c r="F8" s="100">
        <v>1.039255342380623</v>
      </c>
      <c r="G8" t="s">
        <v>309</v>
      </c>
      <c r="H8" s="100">
        <v>13.734375</v>
      </c>
      <c r="I8" s="100">
        <v>3.335765716693345</v>
      </c>
      <c r="J8">
        <v>16</v>
      </c>
      <c r="K8" s="26">
        <f t="shared" si="0"/>
        <v>3.6206250000000004</v>
      </c>
      <c r="L8" s="44" t="s">
        <v>159</v>
      </c>
      <c r="M8">
        <v>0.5</v>
      </c>
      <c r="N8" s="45">
        <f t="shared" si="1"/>
        <v>0.94915254237288138</v>
      </c>
      <c r="O8" s="51">
        <f t="shared" si="2"/>
        <v>2.9564627921436193</v>
      </c>
      <c r="P8" s="52">
        <f t="shared" si="3"/>
        <v>2.9564627921436193</v>
      </c>
      <c r="Q8" s="26">
        <f t="shared" si="4"/>
        <v>1.2246475787286408</v>
      </c>
      <c r="R8" s="46">
        <f t="shared" si="5"/>
        <v>0.10936755287768507</v>
      </c>
      <c r="T8" s="47">
        <f t="shared" si="6"/>
        <v>1.162377362861083</v>
      </c>
      <c r="U8" s="48">
        <f t="shared" si="7"/>
        <v>9.8528194721177936E-2</v>
      </c>
      <c r="V8" s="49">
        <f t="shared" si="8"/>
        <v>0.31389201124141075</v>
      </c>
    </row>
    <row r="9" spans="1:22" ht="17" x14ac:dyDescent="0.25">
      <c r="A9" t="s">
        <v>38</v>
      </c>
      <c r="B9" s="153" t="s">
        <v>92</v>
      </c>
      <c r="C9" s="50" t="s">
        <v>172</v>
      </c>
      <c r="D9" t="s">
        <v>282</v>
      </c>
      <c r="E9" s="100">
        <v>10.828749999999999</v>
      </c>
      <c r="F9" s="100">
        <v>2.9309449556983038</v>
      </c>
      <c r="G9" t="s">
        <v>310</v>
      </c>
      <c r="H9" s="100">
        <v>14.220625</v>
      </c>
      <c r="I9" s="100">
        <v>2.7425984485520298</v>
      </c>
      <c r="J9">
        <v>16</v>
      </c>
      <c r="K9" s="26">
        <f t="shared" si="0"/>
        <v>3.3918750000000006</v>
      </c>
      <c r="L9" s="44" t="s">
        <v>159</v>
      </c>
      <c r="M9">
        <v>0.5</v>
      </c>
      <c r="N9" s="45">
        <f t="shared" si="1"/>
        <v>0.94915254237288138</v>
      </c>
      <c r="O9" s="51">
        <f t="shared" si="2"/>
        <v>2.8414572836915513</v>
      </c>
      <c r="P9" s="52">
        <f t="shared" si="3"/>
        <v>2.8414572836915513</v>
      </c>
      <c r="Q9" s="26">
        <f t="shared" si="4"/>
        <v>1.1937096571775172</v>
      </c>
      <c r="R9" s="46">
        <f t="shared" si="5"/>
        <v>0.10702946080121456</v>
      </c>
      <c r="T9" s="47">
        <f t="shared" si="6"/>
        <v>1.1330125559651012</v>
      </c>
      <c r="U9" s="48">
        <f t="shared" si="7"/>
        <v>9.6421829667511894E-2</v>
      </c>
      <c r="V9" s="49">
        <f t="shared" si="8"/>
        <v>0.3105186462477123</v>
      </c>
    </row>
    <row r="10" spans="1:22" ht="17" x14ac:dyDescent="0.25">
      <c r="A10" t="s">
        <v>40</v>
      </c>
      <c r="B10" s="153" t="s">
        <v>92</v>
      </c>
      <c r="C10" s="50" t="s">
        <v>172</v>
      </c>
      <c r="D10" t="s">
        <v>284</v>
      </c>
      <c r="E10" s="100">
        <v>11.708125000000001</v>
      </c>
      <c r="F10" s="100">
        <v>2.941483115142201</v>
      </c>
      <c r="G10" t="s">
        <v>311</v>
      </c>
      <c r="H10" s="100">
        <v>13.671250000000001</v>
      </c>
      <c r="I10" s="100">
        <v>2.6455191676997289</v>
      </c>
      <c r="J10">
        <v>16</v>
      </c>
      <c r="K10" s="26">
        <f t="shared" si="0"/>
        <v>1.9631249999999998</v>
      </c>
      <c r="L10" s="44" t="s">
        <v>159</v>
      </c>
      <c r="M10">
        <v>0.5</v>
      </c>
      <c r="N10" s="45">
        <f t="shared" si="1"/>
        <v>0.94915254237288138</v>
      </c>
      <c r="O10" s="51">
        <f t="shared" si="2"/>
        <v>2.8052352166546624</v>
      </c>
      <c r="P10" s="52">
        <f t="shared" si="3"/>
        <v>2.8052352166546624</v>
      </c>
      <c r="Q10" s="26">
        <f t="shared" si="4"/>
        <v>0.69980762694869225</v>
      </c>
      <c r="R10" s="46">
        <f t="shared" si="5"/>
        <v>7.7804084835486245E-2</v>
      </c>
      <c r="T10" s="47">
        <f t="shared" si="6"/>
        <v>0.66422418829028418</v>
      </c>
      <c r="U10" s="48">
        <f t="shared" si="7"/>
        <v>7.0092964677990491E-2</v>
      </c>
      <c r="V10" s="49">
        <f t="shared" si="8"/>
        <v>0.26475075954185756</v>
      </c>
    </row>
    <row r="11" spans="1:22" ht="17" x14ac:dyDescent="0.25">
      <c r="A11" t="s">
        <v>193</v>
      </c>
      <c r="B11" s="153" t="s">
        <v>92</v>
      </c>
      <c r="C11" s="50" t="s">
        <v>172</v>
      </c>
      <c r="D11" t="s">
        <v>286</v>
      </c>
      <c r="E11" s="100">
        <v>14.374375000000001</v>
      </c>
      <c r="F11" s="100">
        <v>5.7076112560334744</v>
      </c>
      <c r="G11" t="s">
        <v>312</v>
      </c>
      <c r="H11" s="100">
        <v>15.183125</v>
      </c>
      <c r="I11" s="100">
        <v>4.1944530334717074</v>
      </c>
      <c r="J11">
        <v>16</v>
      </c>
      <c r="K11" s="26">
        <f t="shared" si="0"/>
        <v>0.80874999999999986</v>
      </c>
      <c r="L11" s="44" t="s">
        <v>159</v>
      </c>
      <c r="M11">
        <v>0.5</v>
      </c>
      <c r="N11" s="45">
        <f t="shared" si="1"/>
        <v>0.94915254237288138</v>
      </c>
      <c r="O11" s="51">
        <f t="shared" si="2"/>
        <v>5.1215188326563004</v>
      </c>
      <c r="P11" s="52">
        <f t="shared" si="3"/>
        <v>5.1215188326563004</v>
      </c>
      <c r="Q11" s="26">
        <f t="shared" si="4"/>
        <v>0.1579121402118398</v>
      </c>
      <c r="R11" s="46">
        <f t="shared" si="5"/>
        <v>6.3279257625821372E-2</v>
      </c>
      <c r="T11" s="47">
        <f t="shared" si="6"/>
        <v>0.14988270935361067</v>
      </c>
      <c r="U11" s="48">
        <f t="shared" si="7"/>
        <v>5.7007685123405871E-2</v>
      </c>
      <c r="V11" s="49">
        <f t="shared" si="8"/>
        <v>0.23876282190367468</v>
      </c>
    </row>
    <row r="12" spans="1:22" ht="17" x14ac:dyDescent="0.25">
      <c r="A12" t="s">
        <v>196</v>
      </c>
      <c r="B12" s="205" t="s">
        <v>92</v>
      </c>
      <c r="C12" t="s">
        <v>172</v>
      </c>
      <c r="D12" t="s">
        <v>288</v>
      </c>
      <c r="E12" s="100">
        <v>12.433125</v>
      </c>
      <c r="F12" s="100">
        <v>3.88750600213899</v>
      </c>
      <c r="G12" s="100" t="s">
        <v>313</v>
      </c>
      <c r="H12" s="100">
        <v>13.480625</v>
      </c>
      <c r="I12" s="100">
        <v>2.992767879962182</v>
      </c>
      <c r="J12" s="232">
        <v>16</v>
      </c>
      <c r="K12" s="26">
        <f t="shared" ref="K12:K14" si="9">H12-E12</f>
        <v>1.0474999999999994</v>
      </c>
      <c r="L12" s="44" t="s">
        <v>159</v>
      </c>
      <c r="M12">
        <v>0.5</v>
      </c>
      <c r="N12" s="45">
        <f t="shared" ref="N12:N14" si="10">1-(3/(4*(J12-1)-1))</f>
        <v>0.94915254237288138</v>
      </c>
      <c r="O12" s="51">
        <f>SQRT((F12^2+I12^2-2*M12*F12*I12))</f>
        <v>3.5263237803182856</v>
      </c>
      <c r="P12" s="52">
        <f t="shared" ref="P12:P14" si="11">O12/SQRT(2*(1-M12))</f>
        <v>3.5263237803182856</v>
      </c>
      <c r="Q12" s="26">
        <f t="shared" ref="Q12:Q14" si="12">K12/P12</f>
        <v>0.29705156566917751</v>
      </c>
      <c r="R12" s="46">
        <f t="shared" ref="R12:R14" si="13">((1/J12)+(Q12^2/(2*J12)))*2*(1-M12)</f>
        <v>6.5257488520828424E-2</v>
      </c>
      <c r="T12" s="47">
        <f t="shared" si="6"/>
        <v>0.28194724877074478</v>
      </c>
      <c r="U12" s="48">
        <f t="shared" si="7"/>
        <v>5.878985463985003E-2</v>
      </c>
      <c r="V12" s="49">
        <f t="shared" si="8"/>
        <v>0.24246619277715817</v>
      </c>
    </row>
    <row r="13" spans="1:22" ht="17" x14ac:dyDescent="0.25">
      <c r="A13" t="s">
        <v>26</v>
      </c>
      <c r="B13" s="205" t="s">
        <v>92</v>
      </c>
      <c r="C13" t="s">
        <v>172</v>
      </c>
      <c r="D13" t="s">
        <v>290</v>
      </c>
      <c r="E13" s="100">
        <v>2.5674999999999999</v>
      </c>
      <c r="F13" s="100">
        <v>0.30479957891828618</v>
      </c>
      <c r="G13" s="100" t="s">
        <v>314</v>
      </c>
      <c r="H13" s="100">
        <v>0.59</v>
      </c>
      <c r="I13" s="100">
        <v>6.9011225415461036E-2</v>
      </c>
      <c r="J13" s="232">
        <v>3</v>
      </c>
      <c r="K13" s="26">
        <f t="shared" si="9"/>
        <v>-1.9775</v>
      </c>
      <c r="L13" s="44" t="s">
        <v>159</v>
      </c>
      <c r="M13">
        <v>0.5</v>
      </c>
      <c r="N13" s="45">
        <f t="shared" si="10"/>
        <v>0.5714285714285714</v>
      </c>
      <c r="O13" s="51">
        <f t="shared" si="2"/>
        <v>0.27682257873020527</v>
      </c>
      <c r="P13" s="52">
        <f t="shared" si="11"/>
        <v>0.27682257873020527</v>
      </c>
      <c r="Q13" s="26">
        <f t="shared" si="12"/>
        <v>-7.143564694292138</v>
      </c>
      <c r="R13" s="46">
        <f t="shared" si="13"/>
        <v>8.8384194235895208</v>
      </c>
      <c r="T13" s="47">
        <f t="shared" si="6"/>
        <v>-4.0820369681669355</v>
      </c>
      <c r="U13" s="48">
        <f t="shared" si="7"/>
        <v>2.8860145056618842</v>
      </c>
      <c r="V13" s="49">
        <f t="shared" si="8"/>
        <v>1.6988273913679059</v>
      </c>
    </row>
    <row r="14" spans="1:22" ht="17" x14ac:dyDescent="0.25">
      <c r="A14" t="s">
        <v>42</v>
      </c>
      <c r="B14" s="205" t="s">
        <v>92</v>
      </c>
      <c r="C14" t="s">
        <v>172</v>
      </c>
      <c r="D14" t="s">
        <v>292</v>
      </c>
      <c r="E14" s="100">
        <v>1.406666666666667</v>
      </c>
      <c r="F14" s="100">
        <v>0.41109967357747079</v>
      </c>
      <c r="G14" s="100" t="s">
        <v>315</v>
      </c>
      <c r="H14" s="100">
        <v>1.786666666666666</v>
      </c>
      <c r="I14" s="100">
        <v>1.2945266316907591</v>
      </c>
      <c r="J14" s="232">
        <v>9</v>
      </c>
      <c r="K14" s="26">
        <f t="shared" si="9"/>
        <v>0.37999999999999901</v>
      </c>
      <c r="L14" s="44" t="s">
        <v>159</v>
      </c>
      <c r="M14">
        <v>0.5</v>
      </c>
      <c r="N14" s="45">
        <f t="shared" si="10"/>
        <v>0.90322580645161288</v>
      </c>
      <c r="O14" s="51">
        <f t="shared" si="2"/>
        <v>1.1456974583399893</v>
      </c>
      <c r="P14" s="52">
        <f t="shared" si="11"/>
        <v>1.1456974583399893</v>
      </c>
      <c r="Q14" s="26">
        <f t="shared" si="12"/>
        <v>0.33167569434131783</v>
      </c>
      <c r="R14" s="46">
        <f t="shared" si="13"/>
        <v>0.11722270923426639</v>
      </c>
      <c r="T14" s="47">
        <f t="shared" si="6"/>
        <v>0.29957804650183545</v>
      </c>
      <c r="U14" s="48">
        <f t="shared" si="7"/>
        <v>9.563226226812159E-2</v>
      </c>
      <c r="V14" s="49">
        <f t="shared" si="8"/>
        <v>0.3092446640899752</v>
      </c>
    </row>
  </sheetData>
  <mergeCells count="2">
    <mergeCell ref="D3:F3"/>
    <mergeCell ref="G3:I3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3BF9-816D-F242-B4C0-9F2782AD71FB}">
  <sheetPr>
    <tabColor rgb="FF9437FF"/>
  </sheetPr>
  <dimension ref="A1:V21"/>
  <sheetViews>
    <sheetView zoomScale="117" workbookViewId="0">
      <selection activeCell="D4" sqref="D4:I21"/>
    </sheetView>
  </sheetViews>
  <sheetFormatPr baseColWidth="10" defaultRowHeight="15" x14ac:dyDescent="0.2"/>
  <cols>
    <col min="1" max="1" width="29.33203125" bestFit="1" customWidth="1"/>
    <col min="2" max="2" width="9.1640625" customWidth="1"/>
    <col min="4" max="4" width="9" bestFit="1" customWidth="1"/>
    <col min="6" max="6" width="4.1640625" bestFit="1" customWidth="1"/>
    <col min="7" max="7" width="13" bestFit="1" customWidth="1"/>
    <col min="9" max="9" width="12.1640625" bestFit="1" customWidth="1"/>
    <col min="10" max="10" width="13.6640625" bestFit="1" customWidth="1"/>
    <col min="12" max="12" width="46.33203125" bestFit="1" customWidth="1"/>
  </cols>
  <sheetData>
    <row r="1" spans="1:22" ht="24" x14ac:dyDescent="0.3">
      <c r="A1" s="18" t="s">
        <v>122</v>
      </c>
    </row>
    <row r="2" spans="1:22" s="35" customFormat="1" ht="17" x14ac:dyDescent="0.25">
      <c r="A2" s="27" t="s">
        <v>123</v>
      </c>
      <c r="B2" s="28" t="s">
        <v>124</v>
      </c>
      <c r="C2" s="29" t="s">
        <v>125</v>
      </c>
      <c r="D2" s="28" t="s">
        <v>126</v>
      </c>
      <c r="E2" s="27" t="s">
        <v>127</v>
      </c>
      <c r="F2" s="27" t="s">
        <v>128</v>
      </c>
      <c r="G2" s="28" t="s">
        <v>129</v>
      </c>
      <c r="H2" s="27" t="s">
        <v>130</v>
      </c>
      <c r="I2" s="27" t="s">
        <v>131</v>
      </c>
      <c r="J2" s="27" t="s">
        <v>3</v>
      </c>
      <c r="K2" s="27" t="s">
        <v>132</v>
      </c>
      <c r="L2" s="30" t="s">
        <v>133</v>
      </c>
      <c r="M2" s="31" t="s">
        <v>134</v>
      </c>
      <c r="N2" s="32" t="s">
        <v>135</v>
      </c>
      <c r="O2" s="31" t="s">
        <v>136</v>
      </c>
      <c r="P2" s="33" t="s">
        <v>137</v>
      </c>
      <c r="Q2" s="31" t="s">
        <v>138</v>
      </c>
      <c r="R2" s="34" t="s">
        <v>139</v>
      </c>
      <c r="T2" s="36" t="s">
        <v>140</v>
      </c>
      <c r="U2" s="37" t="s">
        <v>141</v>
      </c>
      <c r="V2" s="38" t="s">
        <v>142</v>
      </c>
    </row>
    <row r="3" spans="1:22" ht="16" x14ac:dyDescent="0.2">
      <c r="A3" s="19" t="s">
        <v>143</v>
      </c>
      <c r="B3" s="20" t="s">
        <v>144</v>
      </c>
      <c r="C3" s="20"/>
      <c r="D3" s="239" t="s">
        <v>145</v>
      </c>
      <c r="E3" s="240"/>
      <c r="F3" s="241"/>
      <c r="G3" s="242" t="s">
        <v>146</v>
      </c>
      <c r="H3" s="243"/>
      <c r="I3" s="244"/>
      <c r="J3" s="54"/>
      <c r="K3" s="40" t="s">
        <v>147</v>
      </c>
      <c r="L3" s="41"/>
      <c r="M3" s="39"/>
      <c r="N3" s="21" t="s">
        <v>148</v>
      </c>
      <c r="O3" s="42" t="s">
        <v>149</v>
      </c>
      <c r="P3" s="23" t="s">
        <v>150</v>
      </c>
      <c r="Q3" s="42" t="s">
        <v>151</v>
      </c>
      <c r="R3" s="21" t="s">
        <v>152</v>
      </c>
      <c r="T3" s="22" t="s">
        <v>153</v>
      </c>
      <c r="U3" s="23" t="s">
        <v>154</v>
      </c>
      <c r="V3" s="24" t="s">
        <v>155</v>
      </c>
    </row>
    <row r="4" spans="1:22" ht="17" x14ac:dyDescent="0.25">
      <c r="A4" t="s">
        <v>200</v>
      </c>
      <c r="B4" s="206" t="s">
        <v>93</v>
      </c>
      <c r="C4" s="50" t="s">
        <v>156</v>
      </c>
      <c r="D4" t="s">
        <v>344</v>
      </c>
      <c r="E4">
        <v>0.625</v>
      </c>
      <c r="F4">
        <v>0.109375</v>
      </c>
      <c r="G4" t="s">
        <v>345</v>
      </c>
      <c r="H4">
        <v>0.6</v>
      </c>
      <c r="I4">
        <v>0.1113552872566004</v>
      </c>
      <c r="J4">
        <v>16</v>
      </c>
      <c r="K4" s="26">
        <f>H4-E4</f>
        <v>-2.5000000000000022E-2</v>
      </c>
      <c r="L4" s="44" t="s">
        <v>159</v>
      </c>
      <c r="M4">
        <v>0.5</v>
      </c>
      <c r="N4" s="45">
        <f>1-(3/(4*(J4-1)-1))</f>
        <v>0.94915254237288138</v>
      </c>
      <c r="O4" s="51">
        <f>SQRT((F4^2+I4^2-2*M4*F4*I4))</f>
        <v>0.11037846747128412</v>
      </c>
      <c r="P4" s="52">
        <f>O4/SQRT(2*(1-M4))</f>
        <v>0.11037846747128412</v>
      </c>
      <c r="Q4" s="26">
        <f>K4/P4</f>
        <v>-0.22649345087622258</v>
      </c>
      <c r="R4" s="46">
        <f>((1/J4)+(Q4^2/(2*J4)))*2*(1-M4)</f>
        <v>6.4103102602806869E-2</v>
      </c>
      <c r="T4" s="47">
        <f>Q4*N4</f>
        <v>-0.21497683472997398</v>
      </c>
      <c r="U4" s="48">
        <f>N4^2*R4</f>
        <v>5.774987927676023E-2</v>
      </c>
      <c r="V4" s="49">
        <f>SQRT(U4)</f>
        <v>0.24031204563392203</v>
      </c>
    </row>
    <row r="5" spans="1:22" ht="17" x14ac:dyDescent="0.25">
      <c r="A5" t="s">
        <v>201</v>
      </c>
      <c r="B5" s="206" t="s">
        <v>93</v>
      </c>
      <c r="C5" s="50" t="s">
        <v>156</v>
      </c>
      <c r="D5" t="s">
        <v>346</v>
      </c>
      <c r="E5">
        <v>0.6</v>
      </c>
      <c r="F5">
        <v>0.1743559577416269</v>
      </c>
      <c r="G5" t="s">
        <v>347</v>
      </c>
      <c r="H5">
        <v>0.85714285714285698</v>
      </c>
      <c r="I5">
        <v>0.24827602164482529</v>
      </c>
      <c r="J5">
        <v>10</v>
      </c>
      <c r="K5" s="26">
        <f t="shared" ref="K5:K21" si="0">H5-E5</f>
        <v>0.25714285714285701</v>
      </c>
      <c r="L5" s="44" t="s">
        <v>159</v>
      </c>
      <c r="M5">
        <v>0.5</v>
      </c>
      <c r="N5" s="45">
        <f t="shared" ref="N5:N21" si="1">1-(3/(4*(J5-1)-1))</f>
        <v>0.91428571428571426</v>
      </c>
      <c r="O5" s="51">
        <f t="shared" ref="O5:O21" si="2">SQRT((F5^2+I5^2-2*M5*F5*I5))</f>
        <v>0.22079986273912702</v>
      </c>
      <c r="P5" s="52">
        <f t="shared" ref="P5:P21" si="3">O5/SQRT(2*(1-M5))</f>
        <v>0.22079986273912702</v>
      </c>
      <c r="Q5" s="26">
        <f t="shared" ref="Q5:Q21" si="4">K5/P5</f>
        <v>1.1645969972665648</v>
      </c>
      <c r="R5" s="46">
        <f t="shared" ref="R5:R21" si="5">((1/J5)+(Q5^2/(2*J5)))*2*(1-M5)</f>
        <v>0.16781430830211497</v>
      </c>
      <c r="T5" s="47">
        <f t="shared" ref="T5:T21" si="6">Q5*N5</f>
        <v>1.0647743975008592</v>
      </c>
      <c r="U5" s="48">
        <f t="shared" ref="U5:U21" si="7">N5^2*R5</f>
        <v>0.14027906261335976</v>
      </c>
      <c r="V5" s="49">
        <f t="shared" ref="V5:V21" si="8">SQRT(U5)</f>
        <v>0.37453846613313269</v>
      </c>
    </row>
    <row r="6" spans="1:22" ht="17" x14ac:dyDescent="0.25">
      <c r="A6" t="s">
        <v>12</v>
      </c>
      <c r="B6" s="206" t="s">
        <v>93</v>
      </c>
      <c r="C6" s="50" t="s">
        <v>156</v>
      </c>
      <c r="D6" t="s">
        <v>316</v>
      </c>
      <c r="E6">
        <v>2.8466666666666671</v>
      </c>
      <c r="F6">
        <v>2.0116070094226282</v>
      </c>
      <c r="G6" t="s">
        <v>317</v>
      </c>
      <c r="H6">
        <v>4.4666666666666668</v>
      </c>
      <c r="I6">
        <v>4.6661934282497484</v>
      </c>
      <c r="J6">
        <v>7</v>
      </c>
      <c r="K6" s="26">
        <f>H6-E6</f>
        <v>1.6199999999999997</v>
      </c>
      <c r="L6" s="44" t="s">
        <v>159</v>
      </c>
      <c r="M6">
        <v>0.5</v>
      </c>
      <c r="N6" s="45">
        <f t="shared" si="1"/>
        <v>0.86956521739130432</v>
      </c>
      <c r="O6" s="51">
        <f t="shared" si="2"/>
        <v>4.0538101167433078</v>
      </c>
      <c r="P6" s="52">
        <f t="shared" si="3"/>
        <v>4.0538101167433078</v>
      </c>
      <c r="Q6" s="26">
        <f t="shared" si="4"/>
        <v>0.39962404585971384</v>
      </c>
      <c r="R6" s="46">
        <f t="shared" si="5"/>
        <v>0.15426424128780619</v>
      </c>
      <c r="T6" s="47">
        <f t="shared" si="6"/>
        <v>0.34749917031279465</v>
      </c>
      <c r="U6" s="48">
        <f t="shared" si="7"/>
        <v>0.11664592914011811</v>
      </c>
      <c r="V6" s="49">
        <f t="shared" si="8"/>
        <v>0.34153466755238493</v>
      </c>
    </row>
    <row r="7" spans="1:22" ht="17" x14ac:dyDescent="0.25">
      <c r="A7" t="s">
        <v>228</v>
      </c>
      <c r="B7" s="206" t="s">
        <v>93</v>
      </c>
      <c r="C7" s="50" t="s">
        <v>156</v>
      </c>
      <c r="D7" t="s">
        <v>318</v>
      </c>
      <c r="E7">
        <v>2.11</v>
      </c>
      <c r="F7">
        <v>1.39</v>
      </c>
      <c r="G7" t="s">
        <v>319</v>
      </c>
      <c r="H7">
        <v>2.93</v>
      </c>
      <c r="I7">
        <v>0.84</v>
      </c>
      <c r="J7">
        <v>14</v>
      </c>
      <c r="K7" s="26">
        <f t="shared" si="0"/>
        <v>0.82000000000000028</v>
      </c>
      <c r="L7" s="44" t="s">
        <v>159</v>
      </c>
      <c r="M7">
        <v>0.5</v>
      </c>
      <c r="N7" s="45">
        <f t="shared" si="1"/>
        <v>0.94117647058823528</v>
      </c>
      <c r="O7" s="51">
        <f t="shared" si="2"/>
        <v>1.2124768039018312</v>
      </c>
      <c r="P7" s="52">
        <f t="shared" si="3"/>
        <v>1.2124768039018312</v>
      </c>
      <c r="Q7" s="26">
        <f t="shared" si="4"/>
        <v>0.67630159798619294</v>
      </c>
      <c r="R7" s="46">
        <f t="shared" si="5"/>
        <v>8.7763708979952781E-2</v>
      </c>
      <c r="T7" s="47">
        <f t="shared" si="6"/>
        <v>0.63651915104582868</v>
      </c>
      <c r="U7" s="48">
        <f t="shared" si="7"/>
        <v>7.7742247400927028E-2</v>
      </c>
      <c r="V7" s="49">
        <f t="shared" si="8"/>
        <v>0.27882296785043914</v>
      </c>
    </row>
    <row r="8" spans="1:22" ht="17" x14ac:dyDescent="0.25">
      <c r="A8" t="s">
        <v>229</v>
      </c>
      <c r="B8" s="206" t="s">
        <v>93</v>
      </c>
      <c r="C8" s="50" t="s">
        <v>156</v>
      </c>
      <c r="D8" t="s">
        <v>320</v>
      </c>
      <c r="E8">
        <v>1.1000000000000001</v>
      </c>
      <c r="F8">
        <v>0.46</v>
      </c>
      <c r="G8" t="s">
        <v>321</v>
      </c>
      <c r="H8">
        <v>1.75</v>
      </c>
      <c r="I8">
        <v>0.7</v>
      </c>
      <c r="J8">
        <v>14</v>
      </c>
      <c r="K8" s="26">
        <f t="shared" si="0"/>
        <v>0.64999999999999991</v>
      </c>
      <c r="L8" s="44" t="s">
        <v>159</v>
      </c>
      <c r="M8">
        <v>0.5</v>
      </c>
      <c r="N8" s="45">
        <f t="shared" si="1"/>
        <v>0.94117647058823528</v>
      </c>
      <c r="O8" s="51">
        <f t="shared" si="2"/>
        <v>0.61611687202997456</v>
      </c>
      <c r="P8" s="52">
        <f t="shared" si="3"/>
        <v>0.61611687202997456</v>
      </c>
      <c r="Q8" s="26">
        <f t="shared" si="4"/>
        <v>1.0549946438869424</v>
      </c>
      <c r="R8" s="46">
        <f t="shared" si="5"/>
        <v>0.11117906066536201</v>
      </c>
      <c r="T8" s="47">
        <f t="shared" si="6"/>
        <v>0.99293613542300463</v>
      </c>
      <c r="U8" s="48">
        <f t="shared" si="7"/>
        <v>9.8483873807379496E-2</v>
      </c>
      <c r="V8" s="49">
        <f t="shared" si="8"/>
        <v>0.3138214043168176</v>
      </c>
    </row>
    <row r="9" spans="1:22" ht="17" x14ac:dyDescent="0.25">
      <c r="A9" t="s">
        <v>28</v>
      </c>
      <c r="B9" s="206" t="s">
        <v>93</v>
      </c>
      <c r="C9" s="50" t="s">
        <v>156</v>
      </c>
      <c r="D9" t="s">
        <v>322</v>
      </c>
      <c r="E9">
        <v>2.2031884779865258</v>
      </c>
      <c r="F9">
        <v>0.54741631566115423</v>
      </c>
      <c r="G9" t="s">
        <v>323</v>
      </c>
      <c r="H9">
        <v>2.9980017623094399</v>
      </c>
      <c r="I9">
        <v>0.70504177806748547</v>
      </c>
      <c r="J9">
        <v>31</v>
      </c>
      <c r="K9" s="26">
        <f t="shared" si="0"/>
        <v>0.79481328432291409</v>
      </c>
      <c r="L9" s="44" t="s">
        <v>159</v>
      </c>
      <c r="M9">
        <v>0.5</v>
      </c>
      <c r="N9" s="45">
        <f t="shared" si="1"/>
        <v>0.97478991596638653</v>
      </c>
      <c r="O9" s="51">
        <f t="shared" si="2"/>
        <v>0.64093459801738106</v>
      </c>
      <c r="P9" s="52">
        <f t="shared" si="3"/>
        <v>0.64093459801738106</v>
      </c>
      <c r="Q9" s="26">
        <f t="shared" si="4"/>
        <v>1.2400848491898078</v>
      </c>
      <c r="R9" s="46">
        <f t="shared" si="5"/>
        <v>5.7061458599840457E-2</v>
      </c>
      <c r="T9" s="47">
        <f t="shared" si="6"/>
        <v>1.2088222059329219</v>
      </c>
      <c r="U9" s="48">
        <f t="shared" si="7"/>
        <v>5.4220675582194282E-2</v>
      </c>
      <c r="V9" s="49">
        <f t="shared" si="8"/>
        <v>0.23285333491748467</v>
      </c>
    </row>
    <row r="10" spans="1:22" ht="17" x14ac:dyDescent="0.25">
      <c r="A10" t="s">
        <v>32</v>
      </c>
      <c r="B10" s="206" t="s">
        <v>93</v>
      </c>
      <c r="C10" s="50" t="s">
        <v>156</v>
      </c>
      <c r="D10" t="s">
        <v>324</v>
      </c>
      <c r="E10">
        <v>2.157865337754219</v>
      </c>
      <c r="F10">
        <v>0.27479536449044722</v>
      </c>
      <c r="G10" t="s">
        <v>325</v>
      </c>
      <c r="H10">
        <v>2.2732554865237451</v>
      </c>
      <c r="I10">
        <v>0.32161859472334342</v>
      </c>
      <c r="J10">
        <v>31</v>
      </c>
      <c r="K10" s="26">
        <f t="shared" si="0"/>
        <v>0.11539014876952614</v>
      </c>
      <c r="L10" s="44" t="s">
        <v>159</v>
      </c>
      <c r="M10">
        <v>0.5</v>
      </c>
      <c r="N10" s="45">
        <f t="shared" si="1"/>
        <v>0.97478991596638653</v>
      </c>
      <c r="O10" s="51">
        <f t="shared" si="2"/>
        <v>0.30095134798393808</v>
      </c>
      <c r="P10" s="52">
        <f t="shared" si="3"/>
        <v>0.30095134798393808</v>
      </c>
      <c r="Q10" s="26">
        <f t="shared" si="4"/>
        <v>0.38341794958726871</v>
      </c>
      <c r="R10" s="46">
        <f t="shared" si="5"/>
        <v>3.462918264622105E-2</v>
      </c>
      <c r="T10" s="47">
        <f t="shared" si="6"/>
        <v>0.37375195085817792</v>
      </c>
      <c r="U10" s="48">
        <f t="shared" si="7"/>
        <v>3.2905181956609734E-2</v>
      </c>
      <c r="V10" s="49">
        <f t="shared" si="8"/>
        <v>0.1813978554355308</v>
      </c>
    </row>
    <row r="11" spans="1:22" ht="17" x14ac:dyDescent="0.25">
      <c r="A11" t="s">
        <v>35</v>
      </c>
      <c r="B11" s="206" t="s">
        <v>93</v>
      </c>
      <c r="C11" s="50" t="s">
        <v>156</v>
      </c>
      <c r="D11" t="s">
        <v>326</v>
      </c>
      <c r="E11">
        <v>1.8878839987036899</v>
      </c>
      <c r="F11">
        <v>0.38776154356994841</v>
      </c>
      <c r="G11" t="s">
        <v>327</v>
      </c>
      <c r="H11">
        <v>2.0944113831577931</v>
      </c>
      <c r="I11">
        <v>0.58945597327689625</v>
      </c>
      <c r="J11">
        <v>16</v>
      </c>
      <c r="K11" s="26">
        <f t="shared" si="0"/>
        <v>0.20652738445410312</v>
      </c>
      <c r="L11" s="44" t="s">
        <v>159</v>
      </c>
      <c r="M11">
        <v>0.5</v>
      </c>
      <c r="N11" s="45">
        <f t="shared" si="1"/>
        <v>0.94915254237288138</v>
      </c>
      <c r="O11" s="51">
        <f t="shared" si="2"/>
        <v>0.51889208997554248</v>
      </c>
      <c r="P11" s="52">
        <f t="shared" si="3"/>
        <v>0.51889208997554248</v>
      </c>
      <c r="Q11" s="26">
        <f t="shared" si="4"/>
        <v>0.3980160585293131</v>
      </c>
      <c r="R11" s="46">
        <f t="shared" si="5"/>
        <v>6.74505244639753E-2</v>
      </c>
      <c r="T11" s="47">
        <f t="shared" si="6"/>
        <v>0.37777795385833107</v>
      </c>
      <c r="U11" s="48">
        <f t="shared" si="7"/>
        <v>6.0765539993974882E-2</v>
      </c>
      <c r="V11" s="49">
        <f t="shared" si="8"/>
        <v>0.24650667332543938</v>
      </c>
    </row>
    <row r="12" spans="1:22" ht="17" x14ac:dyDescent="0.25">
      <c r="A12" t="s">
        <v>38</v>
      </c>
      <c r="B12" s="206" t="s">
        <v>93</v>
      </c>
      <c r="C12" s="50" t="s">
        <v>156</v>
      </c>
      <c r="D12" t="s">
        <v>328</v>
      </c>
      <c r="E12">
        <v>1.8059720790794991</v>
      </c>
      <c r="F12">
        <v>0.94424743591432814</v>
      </c>
      <c r="G12" t="s">
        <v>329</v>
      </c>
      <c r="H12">
        <v>1.8324213586455009</v>
      </c>
      <c r="I12">
        <v>0.80064916684618737</v>
      </c>
      <c r="J12">
        <v>16</v>
      </c>
      <c r="K12" s="26">
        <f t="shared" si="0"/>
        <v>2.6449279566001849E-2</v>
      </c>
      <c r="L12" s="44" t="s">
        <v>159</v>
      </c>
      <c r="M12">
        <v>0.5</v>
      </c>
      <c r="N12" s="45">
        <f t="shared" si="1"/>
        <v>0.94915254237288138</v>
      </c>
      <c r="O12" s="51">
        <f t="shared" si="2"/>
        <v>0.88126692082525238</v>
      </c>
      <c r="P12" s="52">
        <f t="shared" si="3"/>
        <v>0.88126692082525238</v>
      </c>
      <c r="Q12" s="26">
        <f t="shared" si="4"/>
        <v>3.0012790609720969E-2</v>
      </c>
      <c r="R12" s="46">
        <f t="shared" si="5"/>
        <v>6.2528148987505722E-2</v>
      </c>
      <c r="T12" s="47">
        <f t="shared" si="6"/>
        <v>2.8486716510921599E-2</v>
      </c>
      <c r="U12" s="48">
        <f t="shared" si="7"/>
        <v>5.6331018450105706E-2</v>
      </c>
      <c r="V12" s="49">
        <f t="shared" si="8"/>
        <v>0.2373415649440816</v>
      </c>
    </row>
    <row r="13" spans="1:22" ht="17" x14ac:dyDescent="0.25">
      <c r="A13" t="s">
        <v>40</v>
      </c>
      <c r="B13" s="206" t="s">
        <v>93</v>
      </c>
      <c r="C13" s="50" t="s">
        <v>156</v>
      </c>
      <c r="D13" t="s">
        <v>330</v>
      </c>
      <c r="E13">
        <v>1.639578483716297</v>
      </c>
      <c r="F13">
        <v>0.35362045741947218</v>
      </c>
      <c r="G13" t="s">
        <v>331</v>
      </c>
      <c r="H13">
        <v>2.3989099946386339</v>
      </c>
      <c r="I13">
        <v>0.94116482306826565</v>
      </c>
      <c r="J13">
        <v>16</v>
      </c>
      <c r="K13" s="26">
        <f t="shared" si="0"/>
        <v>0.75933151092233686</v>
      </c>
      <c r="L13" s="44" t="s">
        <v>159</v>
      </c>
      <c r="M13">
        <v>0.5</v>
      </c>
      <c r="N13" s="45">
        <f t="shared" si="1"/>
        <v>0.94915254237288138</v>
      </c>
      <c r="O13" s="51">
        <f t="shared" si="2"/>
        <v>0.82342183408394021</v>
      </c>
      <c r="P13" s="52">
        <f t="shared" si="3"/>
        <v>0.82342183408394021</v>
      </c>
      <c r="Q13" s="26">
        <f t="shared" si="4"/>
        <v>0.92216586868515082</v>
      </c>
      <c r="R13" s="46">
        <f t="shared" si="5"/>
        <v>8.9074684042744962E-2</v>
      </c>
      <c r="T13" s="47">
        <f t="shared" si="6"/>
        <v>0.87527607875200764</v>
      </c>
      <c r="U13" s="48">
        <f t="shared" si="7"/>
        <v>8.0246540981915609E-2</v>
      </c>
      <c r="V13" s="49">
        <f t="shared" si="8"/>
        <v>0.28327820421260019</v>
      </c>
    </row>
    <row r="14" spans="1:22" ht="17" x14ac:dyDescent="0.25">
      <c r="A14" t="s">
        <v>193</v>
      </c>
      <c r="B14" s="207" t="s">
        <v>93</v>
      </c>
      <c r="C14" t="s">
        <v>156</v>
      </c>
      <c r="D14" t="s">
        <v>332</v>
      </c>
      <c r="E14">
        <v>1.4232401188868919</v>
      </c>
      <c r="F14">
        <v>0.48784811746662199</v>
      </c>
      <c r="G14" t="s">
        <v>333</v>
      </c>
      <c r="H14">
        <v>1.659690042386438</v>
      </c>
      <c r="I14">
        <v>0.63686770183268615</v>
      </c>
      <c r="J14">
        <v>16</v>
      </c>
      <c r="K14" s="26">
        <f t="shared" si="0"/>
        <v>0.23644992349954608</v>
      </c>
      <c r="L14" s="44" t="s">
        <v>159</v>
      </c>
      <c r="M14">
        <v>0.5</v>
      </c>
      <c r="N14" s="45">
        <f t="shared" si="1"/>
        <v>0.94915254237288138</v>
      </c>
      <c r="O14" s="51">
        <f t="shared" si="2"/>
        <v>0.57697620916204539</v>
      </c>
      <c r="P14" s="52">
        <f t="shared" si="3"/>
        <v>0.57697620916204539</v>
      </c>
      <c r="Q14" s="26">
        <f t="shared" si="4"/>
        <v>0.40980879236415524</v>
      </c>
      <c r="R14" s="46">
        <f t="shared" si="5"/>
        <v>6.7748226446842724E-2</v>
      </c>
      <c r="T14" s="47">
        <f t="shared" si="6"/>
        <v>0.38897105715919822</v>
      </c>
      <c r="U14" s="48">
        <f t="shared" si="7"/>
        <v>6.103373689666728E-2</v>
      </c>
      <c r="V14" s="49">
        <f t="shared" si="8"/>
        <v>0.24705006961477927</v>
      </c>
    </row>
    <row r="15" spans="1:22" ht="17" x14ac:dyDescent="0.25">
      <c r="A15" t="s">
        <v>196</v>
      </c>
      <c r="B15" s="207" t="s">
        <v>93</v>
      </c>
      <c r="C15" t="s">
        <v>156</v>
      </c>
      <c r="D15" t="s">
        <v>334</v>
      </c>
      <c r="E15">
        <v>1.3122950503877959</v>
      </c>
      <c r="F15">
        <v>0.36953508974386062</v>
      </c>
      <c r="G15" t="s">
        <v>335</v>
      </c>
      <c r="H15">
        <v>1.8424422901428901</v>
      </c>
      <c r="I15">
        <v>0.45260652029852311</v>
      </c>
      <c r="J15">
        <v>16</v>
      </c>
      <c r="K15" s="26">
        <f t="shared" si="0"/>
        <v>0.53014723975509415</v>
      </c>
      <c r="L15" s="44" t="s">
        <v>159</v>
      </c>
      <c r="M15">
        <v>0.5</v>
      </c>
      <c r="N15" s="45">
        <f t="shared" si="1"/>
        <v>0.94915254237288138</v>
      </c>
      <c r="O15" s="51">
        <f t="shared" si="2"/>
        <v>0.41731864764418253</v>
      </c>
      <c r="P15" s="52">
        <f t="shared" si="3"/>
        <v>0.41731864764418253</v>
      </c>
      <c r="Q15" s="26">
        <f t="shared" si="4"/>
        <v>1.2703655653727519</v>
      </c>
      <c r="R15" s="46">
        <f t="shared" si="5"/>
        <v>0.112932145927651</v>
      </c>
      <c r="T15" s="47">
        <f t="shared" si="6"/>
        <v>1.2057707061165104</v>
      </c>
      <c r="U15" s="48">
        <f t="shared" si="7"/>
        <v>0.10173950290982865</v>
      </c>
      <c r="V15" s="49">
        <f t="shared" si="8"/>
        <v>0.31896630372161361</v>
      </c>
    </row>
    <row r="16" spans="1:22" ht="17" x14ac:dyDescent="0.25">
      <c r="A16" t="s">
        <v>26</v>
      </c>
      <c r="B16" s="207" t="s">
        <v>93</v>
      </c>
      <c r="C16" t="s">
        <v>156</v>
      </c>
      <c r="D16" t="s">
        <v>336</v>
      </c>
      <c r="E16">
        <v>0.94157740993184036</v>
      </c>
      <c r="F16">
        <v>0.1154031482522572</v>
      </c>
      <c r="G16" t="s">
        <v>337</v>
      </c>
      <c r="H16">
        <v>2.2552552552552552</v>
      </c>
      <c r="I16">
        <v>0.23329243911364281</v>
      </c>
      <c r="J16">
        <v>3</v>
      </c>
      <c r="K16" s="26">
        <f t="shared" si="0"/>
        <v>1.3136778453234148</v>
      </c>
      <c r="L16" s="44" t="s">
        <v>159</v>
      </c>
      <c r="M16">
        <v>0.5</v>
      </c>
      <c r="N16" s="45">
        <f t="shared" si="1"/>
        <v>0.5714285714285714</v>
      </c>
      <c r="O16" s="51">
        <f t="shared" si="2"/>
        <v>0.20204100286071336</v>
      </c>
      <c r="P16" s="52">
        <f t="shared" si="3"/>
        <v>0.20204100286071336</v>
      </c>
      <c r="Q16" s="26">
        <f t="shared" si="4"/>
        <v>6.5020358576870736</v>
      </c>
      <c r="R16" s="46">
        <f t="shared" si="5"/>
        <v>7.3794117157747454</v>
      </c>
      <c r="T16" s="47">
        <f t="shared" si="6"/>
        <v>3.7154490615354705</v>
      </c>
      <c r="U16" s="48">
        <f t="shared" si="7"/>
        <v>2.4096038255591004</v>
      </c>
      <c r="V16" s="49">
        <f t="shared" si="8"/>
        <v>1.5522898651859776</v>
      </c>
    </row>
    <row r="17" spans="1:22" ht="17" x14ac:dyDescent="0.25">
      <c r="A17" t="s">
        <v>197</v>
      </c>
      <c r="B17" s="207" t="s">
        <v>93</v>
      </c>
      <c r="C17" t="s">
        <v>156</v>
      </c>
      <c r="D17" t="s">
        <v>342</v>
      </c>
      <c r="E17">
        <v>2.4</v>
      </c>
      <c r="F17">
        <v>2.2097963707093009</v>
      </c>
      <c r="G17" t="s">
        <v>343</v>
      </c>
      <c r="H17">
        <v>2.5</v>
      </c>
      <c r="I17">
        <v>2.8831406486676991</v>
      </c>
      <c r="J17">
        <v>7</v>
      </c>
      <c r="K17" s="26">
        <f t="shared" si="0"/>
        <v>0.10000000000000009</v>
      </c>
      <c r="L17" s="44" t="s">
        <v>159</v>
      </c>
      <c r="M17">
        <v>0.5</v>
      </c>
      <c r="N17" s="45">
        <f t="shared" si="1"/>
        <v>0.86956521739130432</v>
      </c>
      <c r="O17" s="51">
        <f t="shared" si="2"/>
        <v>2.6123832525741046</v>
      </c>
      <c r="P17" s="52">
        <f t="shared" si="3"/>
        <v>2.6123832525741046</v>
      </c>
      <c r="Q17" s="26">
        <f t="shared" si="4"/>
        <v>3.827922258400078E-2</v>
      </c>
      <c r="R17" s="46">
        <f t="shared" si="5"/>
        <v>0.14296180706297396</v>
      </c>
      <c r="T17" s="47">
        <f t="shared" si="6"/>
        <v>3.3286280507826761E-2</v>
      </c>
      <c r="U17" s="48">
        <f t="shared" si="7"/>
        <v>0.10809966507597274</v>
      </c>
      <c r="V17" s="49">
        <f t="shared" si="8"/>
        <v>0.32878513512014612</v>
      </c>
    </row>
    <row r="18" spans="1:22" ht="17" x14ac:dyDescent="0.25">
      <c r="A18" t="s">
        <v>198</v>
      </c>
      <c r="B18" s="207" t="s">
        <v>93</v>
      </c>
      <c r="C18" t="s">
        <v>156</v>
      </c>
      <c r="D18" t="s">
        <v>375</v>
      </c>
      <c r="E18">
        <v>2.4</v>
      </c>
      <c r="F18">
        <v>2.2224311012942559</v>
      </c>
      <c r="G18" t="s">
        <v>376</v>
      </c>
      <c r="H18">
        <v>2.6</v>
      </c>
      <c r="I18">
        <v>2.4954358336771549</v>
      </c>
      <c r="J18">
        <v>7</v>
      </c>
      <c r="K18" s="26">
        <f t="shared" si="0"/>
        <v>0.20000000000000018</v>
      </c>
      <c r="L18" s="44" t="s">
        <v>159</v>
      </c>
      <c r="M18">
        <v>0.5</v>
      </c>
      <c r="N18" s="45">
        <f t="shared" si="1"/>
        <v>0.86956521739130432</v>
      </c>
      <c r="O18" s="51">
        <f t="shared" si="2"/>
        <v>2.3707521574284662</v>
      </c>
      <c r="P18" s="52">
        <f t="shared" si="3"/>
        <v>2.3707521574284662</v>
      </c>
      <c r="Q18" s="26">
        <f t="shared" si="4"/>
        <v>8.436141220975979E-2</v>
      </c>
      <c r="R18" s="46">
        <f t="shared" si="5"/>
        <v>0.14336548913357322</v>
      </c>
      <c r="T18" s="47">
        <f t="shared" si="6"/>
        <v>7.3357749747617204E-2</v>
      </c>
      <c r="U18" s="48">
        <f t="shared" si="7"/>
        <v>0.10840490671725764</v>
      </c>
      <c r="V18" s="49">
        <f t="shared" si="8"/>
        <v>0.32924900412492919</v>
      </c>
    </row>
    <row r="19" spans="1:22" ht="17" x14ac:dyDescent="0.25">
      <c r="A19" t="s">
        <v>199</v>
      </c>
      <c r="B19" s="207" t="s">
        <v>93</v>
      </c>
      <c r="C19" t="s">
        <v>156</v>
      </c>
      <c r="D19" t="s">
        <v>377</v>
      </c>
      <c r="E19">
        <v>3.666666666666667</v>
      </c>
      <c r="F19">
        <v>2.8952920490656409</v>
      </c>
      <c r="G19" t="s">
        <v>378</v>
      </c>
      <c r="H19">
        <v>3</v>
      </c>
      <c r="I19">
        <v>1.984313483298443</v>
      </c>
      <c r="J19">
        <v>7</v>
      </c>
      <c r="K19" s="26">
        <f t="shared" si="0"/>
        <v>-0.66666666666666696</v>
      </c>
      <c r="L19" s="44" t="s">
        <v>159</v>
      </c>
      <c r="M19">
        <v>0.5</v>
      </c>
      <c r="N19" s="45">
        <f t="shared" si="1"/>
        <v>0.86956521739130432</v>
      </c>
      <c r="O19" s="51">
        <f t="shared" si="2"/>
        <v>2.5641858353744542</v>
      </c>
      <c r="P19" s="52">
        <f t="shared" si="3"/>
        <v>2.5641858353744542</v>
      </c>
      <c r="Q19" s="26">
        <f t="shared" si="4"/>
        <v>-0.25999155656723766</v>
      </c>
      <c r="R19" s="46">
        <f t="shared" si="5"/>
        <v>0.14768540067758965</v>
      </c>
      <c r="T19" s="47">
        <f t="shared" si="6"/>
        <v>-0.22607961440629362</v>
      </c>
      <c r="U19" s="48">
        <f t="shared" si="7"/>
        <v>0.11167138047454794</v>
      </c>
      <c r="V19" s="49">
        <f t="shared" si="8"/>
        <v>0.33417268062268041</v>
      </c>
    </row>
    <row r="20" spans="1:22" ht="17" x14ac:dyDescent="0.25">
      <c r="A20" t="s">
        <v>42</v>
      </c>
      <c r="B20" s="207" t="s">
        <v>93</v>
      </c>
      <c r="C20" t="s">
        <v>156</v>
      </c>
      <c r="D20" t="s">
        <v>338</v>
      </c>
      <c r="E20">
        <v>8.4573459715639814</v>
      </c>
      <c r="F20">
        <v>3.416575636237897</v>
      </c>
      <c r="G20" t="s">
        <v>339</v>
      </c>
      <c r="H20">
        <v>4.1580135440180586</v>
      </c>
      <c r="I20">
        <v>1.4897922487242741</v>
      </c>
      <c r="J20">
        <v>9</v>
      </c>
      <c r="K20" s="26">
        <f t="shared" si="0"/>
        <v>-4.2993324275459228</v>
      </c>
      <c r="L20" s="44" t="s">
        <v>159</v>
      </c>
      <c r="M20">
        <v>0.5</v>
      </c>
      <c r="N20" s="45">
        <f t="shared" si="1"/>
        <v>0.90322580645161288</v>
      </c>
      <c r="O20" s="51">
        <f t="shared" si="2"/>
        <v>2.9668977269946288</v>
      </c>
      <c r="P20" s="52">
        <f t="shared" si="3"/>
        <v>2.9668977269946288</v>
      </c>
      <c r="Q20" s="26">
        <f t="shared" si="4"/>
        <v>-1.4491003139164513</v>
      </c>
      <c r="R20" s="46">
        <f t="shared" si="5"/>
        <v>0.22777176221070877</v>
      </c>
      <c r="T20" s="47">
        <f t="shared" si="6"/>
        <v>-1.3088647996664722</v>
      </c>
      <c r="U20" s="48">
        <f t="shared" si="7"/>
        <v>0.18582004326034929</v>
      </c>
      <c r="V20" s="49">
        <f t="shared" si="8"/>
        <v>0.4310684902197669</v>
      </c>
    </row>
    <row r="21" spans="1:22" ht="17" x14ac:dyDescent="0.25">
      <c r="A21" t="s">
        <v>47</v>
      </c>
      <c r="B21" s="207" t="s">
        <v>93</v>
      </c>
      <c r="C21" t="s">
        <v>156</v>
      </c>
      <c r="D21" t="s">
        <v>340</v>
      </c>
      <c r="E21">
        <v>1.703533026113671</v>
      </c>
      <c r="F21">
        <v>0.5109879576106483</v>
      </c>
      <c r="G21" t="s">
        <v>341</v>
      </c>
      <c r="H21">
        <v>1.2438118811881189</v>
      </c>
      <c r="I21">
        <v>0.37226874760146228</v>
      </c>
      <c r="J21">
        <v>18</v>
      </c>
      <c r="K21" s="26">
        <f t="shared" si="0"/>
        <v>-0.45972114492555205</v>
      </c>
      <c r="L21" s="44" t="s">
        <v>159</v>
      </c>
      <c r="M21">
        <v>0.5</v>
      </c>
      <c r="N21" s="45">
        <f t="shared" si="1"/>
        <v>0.95522388059701491</v>
      </c>
      <c r="O21" s="51">
        <f t="shared" si="2"/>
        <v>0.4576765956925456</v>
      </c>
      <c r="P21" s="52">
        <f t="shared" si="3"/>
        <v>0.4576765956925456</v>
      </c>
      <c r="Q21" s="26">
        <f t="shared" si="4"/>
        <v>-1.004467235712398</v>
      </c>
      <c r="R21" s="46">
        <f t="shared" si="5"/>
        <v>8.3582067433880719E-2</v>
      </c>
      <c r="T21" s="47">
        <f t="shared" si="6"/>
        <v>-0.95949109082975337</v>
      </c>
      <c r="U21" s="48">
        <f t="shared" si="7"/>
        <v>7.6264679930758611E-2</v>
      </c>
      <c r="V21" s="49">
        <f t="shared" si="8"/>
        <v>0.27616060532009018</v>
      </c>
    </row>
  </sheetData>
  <mergeCells count="2">
    <mergeCell ref="D3:F3"/>
    <mergeCell ref="G3:I3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78C7-A8EA-F343-8E49-219C650AA2DD}">
  <sheetPr>
    <tabColor rgb="FF9437FF"/>
  </sheetPr>
  <dimension ref="A1:V8"/>
  <sheetViews>
    <sheetView workbookViewId="0">
      <selection activeCell="N36" sqref="N36"/>
    </sheetView>
  </sheetViews>
  <sheetFormatPr baseColWidth="10" defaultRowHeight="15" x14ac:dyDescent="0.2"/>
  <cols>
    <col min="1" max="1" width="27" bestFit="1" customWidth="1"/>
    <col min="2" max="2" width="18.83203125" bestFit="1" customWidth="1"/>
    <col min="3" max="3" width="13" bestFit="1" customWidth="1"/>
    <col min="4" max="4" width="7.5" customWidth="1"/>
    <col min="7" max="7" width="13" bestFit="1" customWidth="1"/>
    <col min="10" max="10" width="13.6640625" bestFit="1" customWidth="1"/>
  </cols>
  <sheetData>
    <row r="1" spans="1:22" ht="24" x14ac:dyDescent="0.3">
      <c r="A1" s="18" t="s">
        <v>174</v>
      </c>
    </row>
    <row r="2" spans="1:22" s="35" customFormat="1" ht="17" x14ac:dyDescent="0.25">
      <c r="A2" s="27" t="s">
        <v>123</v>
      </c>
      <c r="B2" s="28" t="s">
        <v>124</v>
      </c>
      <c r="C2" s="29" t="s">
        <v>125</v>
      </c>
      <c r="D2" s="28" t="s">
        <v>126</v>
      </c>
      <c r="E2" s="27" t="s">
        <v>127</v>
      </c>
      <c r="F2" s="27" t="s">
        <v>128</v>
      </c>
      <c r="G2" s="28" t="s">
        <v>129</v>
      </c>
      <c r="H2" s="27" t="s">
        <v>130</v>
      </c>
      <c r="I2" s="27" t="s">
        <v>131</v>
      </c>
      <c r="J2" s="27" t="s">
        <v>3</v>
      </c>
      <c r="K2" s="27" t="s">
        <v>132</v>
      </c>
      <c r="L2" s="30" t="s">
        <v>133</v>
      </c>
      <c r="M2" s="31" t="s">
        <v>134</v>
      </c>
      <c r="N2" s="32" t="s">
        <v>135</v>
      </c>
      <c r="O2" s="31" t="s">
        <v>136</v>
      </c>
      <c r="P2" s="33" t="s">
        <v>137</v>
      </c>
      <c r="Q2" s="31" t="s">
        <v>138</v>
      </c>
      <c r="R2" s="34" t="s">
        <v>139</v>
      </c>
      <c r="T2" s="36" t="s">
        <v>140</v>
      </c>
      <c r="U2" s="37" t="s">
        <v>141</v>
      </c>
      <c r="V2" s="38" t="s">
        <v>142</v>
      </c>
    </row>
    <row r="3" spans="1:22" ht="16" x14ac:dyDescent="0.2">
      <c r="A3" s="19" t="s">
        <v>143</v>
      </c>
      <c r="B3" s="20" t="s">
        <v>144</v>
      </c>
      <c r="C3" s="20"/>
      <c r="D3" s="239" t="s">
        <v>145</v>
      </c>
      <c r="E3" s="240"/>
      <c r="F3" s="241"/>
      <c r="G3" s="242" t="s">
        <v>146</v>
      </c>
      <c r="H3" s="243"/>
      <c r="I3" s="244"/>
      <c r="J3" s="54"/>
      <c r="K3" s="40" t="s">
        <v>147</v>
      </c>
      <c r="L3" s="41"/>
      <c r="M3" s="39"/>
      <c r="N3" s="21" t="s">
        <v>148</v>
      </c>
      <c r="O3" s="42" t="s">
        <v>149</v>
      </c>
      <c r="P3" s="23" t="s">
        <v>150</v>
      </c>
      <c r="Q3" s="42" t="s">
        <v>151</v>
      </c>
      <c r="R3" s="21" t="s">
        <v>152</v>
      </c>
      <c r="T3" s="22" t="s">
        <v>153</v>
      </c>
      <c r="U3" s="23" t="s">
        <v>154</v>
      </c>
      <c r="V3" s="24" t="s">
        <v>155</v>
      </c>
    </row>
    <row r="4" spans="1:22" ht="17" x14ac:dyDescent="0.25">
      <c r="A4" t="s">
        <v>12</v>
      </c>
      <c r="B4" s="154" t="s">
        <v>93</v>
      </c>
      <c r="C4" t="s">
        <v>171</v>
      </c>
      <c r="D4" t="s">
        <v>316</v>
      </c>
      <c r="E4" s="100">
        <v>2.8466666666666671</v>
      </c>
      <c r="F4" s="100">
        <v>2.0116070094226282</v>
      </c>
      <c r="G4" s="100" t="s">
        <v>348</v>
      </c>
      <c r="H4" s="100">
        <v>1.4733333333333329</v>
      </c>
      <c r="I4" s="100">
        <v>0.76238987115104151</v>
      </c>
      <c r="J4">
        <v>7</v>
      </c>
      <c r="K4" s="26">
        <f>H4-E4</f>
        <v>-1.3733333333333342</v>
      </c>
      <c r="L4" s="44" t="s">
        <v>159</v>
      </c>
      <c r="M4">
        <v>0.5</v>
      </c>
      <c r="N4" s="45">
        <f>1-(3/(4*(J4-1)-1))</f>
        <v>0.86956521739130432</v>
      </c>
      <c r="O4" s="51">
        <f>SQRT((F4^2+I4^2-2*M4*F4*I4))</f>
        <v>1.759025942751187</v>
      </c>
      <c r="P4" s="52">
        <f>O4/SQRT(2*(1-M4))</f>
        <v>1.759025942751187</v>
      </c>
      <c r="Q4" s="26">
        <f>K4/P4</f>
        <v>-0.78073512161246805</v>
      </c>
      <c r="R4" s="46">
        <f>((1/J4)+(Q4^2/(2*J4)))*2*(1-M4)</f>
        <v>0.18639623786565965</v>
      </c>
      <c r="T4" s="47">
        <f>Q4*N4</f>
        <v>-0.67890010574997217</v>
      </c>
      <c r="U4" s="48">
        <f>N4^2*R4</f>
        <v>0.140942334870064</v>
      </c>
      <c r="V4" s="49">
        <f>SQRT(U4)</f>
        <v>0.37542287472936969</v>
      </c>
    </row>
    <row r="5" spans="1:22" ht="17" x14ac:dyDescent="0.25">
      <c r="A5" t="s">
        <v>197</v>
      </c>
      <c r="B5" s="154" t="s">
        <v>93</v>
      </c>
      <c r="C5" t="s">
        <v>171</v>
      </c>
      <c r="D5" t="s">
        <v>342</v>
      </c>
      <c r="E5" s="100">
        <v>2.4</v>
      </c>
      <c r="F5" s="100">
        <v>2.2097963707093009</v>
      </c>
      <c r="G5" s="100" t="s">
        <v>350</v>
      </c>
      <c r="H5" s="100">
        <v>1.6</v>
      </c>
      <c r="I5" s="100">
        <v>1.4816207341961709</v>
      </c>
      <c r="J5">
        <v>7</v>
      </c>
      <c r="K5" s="26">
        <f t="shared" ref="K5" si="0">H5-E5</f>
        <v>-0.79999999999999982</v>
      </c>
      <c r="L5" s="44" t="s">
        <v>159</v>
      </c>
      <c r="M5">
        <v>0.5</v>
      </c>
      <c r="N5" s="45">
        <f>1-(3/(4*(J5-1)-1))</f>
        <v>0.86956521739130432</v>
      </c>
      <c r="O5" s="51">
        <f t="shared" ref="O5" si="1">SQRT((F5^2+I5^2-2*M5*F5*I5))</f>
        <v>1.9504665797715299</v>
      </c>
      <c r="P5" s="52">
        <f t="shared" ref="P5" si="2">O5/SQRT(2*(1-M5))</f>
        <v>1.9504665797715299</v>
      </c>
      <c r="Q5" s="26">
        <f t="shared" ref="Q5" si="3">K5/P5</f>
        <v>-0.4101582709987826</v>
      </c>
      <c r="R5" s="46">
        <f t="shared" ref="R5" si="4">((1/J5)+(Q5^2/(2*J5)))*2*(1-M5)</f>
        <v>0.15487355766205077</v>
      </c>
      <c r="T5" s="47">
        <f t="shared" ref="T5:T8" si="5">Q5*N5</f>
        <v>-0.35665936608589793</v>
      </c>
      <c r="U5" s="48">
        <f t="shared" ref="U5:U8" si="6">N5^2*R5</f>
        <v>0.11710665985788338</v>
      </c>
      <c r="V5" s="49">
        <f t="shared" ref="V5:V8" si="7">SQRT(U5)</f>
        <v>0.34220850348564308</v>
      </c>
    </row>
    <row r="6" spans="1:22" ht="17" x14ac:dyDescent="0.25">
      <c r="A6" t="s">
        <v>198</v>
      </c>
      <c r="B6" s="154" t="s">
        <v>93</v>
      </c>
      <c r="C6" t="s">
        <v>171</v>
      </c>
      <c r="D6" t="s">
        <v>375</v>
      </c>
      <c r="E6" s="100">
        <v>2.4</v>
      </c>
      <c r="F6" s="100">
        <v>2.2224311012942559</v>
      </c>
      <c r="G6" t="s">
        <v>379</v>
      </c>
      <c r="H6" s="100">
        <v>2.4</v>
      </c>
      <c r="I6" s="100">
        <v>1.454922678357857</v>
      </c>
      <c r="J6">
        <v>7</v>
      </c>
      <c r="K6" s="26">
        <f t="shared" ref="K6:K8" si="8">H6-E6</f>
        <v>0</v>
      </c>
      <c r="L6" s="44" t="s">
        <v>159</v>
      </c>
      <c r="M6">
        <v>0.5</v>
      </c>
      <c r="N6" s="45">
        <f t="shared" ref="N6:N8" si="9">1-(3/(4*(J6-1)-1))</f>
        <v>0.86956521739130432</v>
      </c>
      <c r="O6" s="51">
        <f>SQRT((F6^2+I6^2-2*M6*F6*I6))</f>
        <v>1.9551303254870658</v>
      </c>
      <c r="P6" s="52">
        <f t="shared" ref="P6:P8" si="10">O6/SQRT(2*(1-M6))</f>
        <v>1.9551303254870658</v>
      </c>
      <c r="Q6" s="26">
        <f t="shared" ref="Q6:Q8" si="11">K6/P6</f>
        <v>0</v>
      </c>
      <c r="R6" s="46">
        <f t="shared" ref="R6:R8" si="12">((1/J6)+(Q6^2/(2*J6)))*2*(1-M6)</f>
        <v>0.14285714285714285</v>
      </c>
      <c r="T6" s="47">
        <f t="shared" si="5"/>
        <v>0</v>
      </c>
      <c r="U6" s="48">
        <f t="shared" si="6"/>
        <v>0.10802052389954091</v>
      </c>
      <c r="V6" s="49">
        <f t="shared" si="7"/>
        <v>0.32866475913845844</v>
      </c>
    </row>
    <row r="7" spans="1:22" ht="17" x14ac:dyDescent="0.25">
      <c r="A7" t="s">
        <v>199</v>
      </c>
      <c r="B7" s="154" t="s">
        <v>93</v>
      </c>
      <c r="C7" t="s">
        <v>171</v>
      </c>
      <c r="D7" t="s">
        <v>377</v>
      </c>
      <c r="E7" s="100">
        <v>3.666666666666667</v>
      </c>
      <c r="F7" s="100">
        <v>2.8952920490656409</v>
      </c>
      <c r="G7" t="s">
        <v>380</v>
      </c>
      <c r="H7" s="100">
        <v>2.75</v>
      </c>
      <c r="I7" s="100">
        <v>1.628601777599423</v>
      </c>
      <c r="J7">
        <v>7</v>
      </c>
      <c r="K7" s="26">
        <f t="shared" si="8"/>
        <v>-0.91666666666666696</v>
      </c>
      <c r="L7" s="44" t="s">
        <v>159</v>
      </c>
      <c r="M7">
        <v>0.5</v>
      </c>
      <c r="N7" s="45">
        <f t="shared" si="9"/>
        <v>0.86956521739130432</v>
      </c>
      <c r="O7" s="51">
        <f>SQRT((F7^2+I7^2-2*M7*F7*I7))</f>
        <v>2.5139176640464855</v>
      </c>
      <c r="P7" s="52">
        <f t="shared" si="10"/>
        <v>2.5139176640464855</v>
      </c>
      <c r="Q7" s="26">
        <f t="shared" si="11"/>
        <v>-0.36463671017417881</v>
      </c>
      <c r="R7" s="46">
        <f t="shared" si="12"/>
        <v>0.15235428074333199</v>
      </c>
      <c r="T7" s="47">
        <f t="shared" si="5"/>
        <v>-0.31707540015145985</v>
      </c>
      <c r="U7" s="48">
        <f t="shared" si="6"/>
        <v>0.11520172456962721</v>
      </c>
      <c r="V7" s="49">
        <f t="shared" si="7"/>
        <v>0.33941379549103068</v>
      </c>
    </row>
    <row r="8" spans="1:22" ht="17" x14ac:dyDescent="0.25">
      <c r="A8" t="s">
        <v>42</v>
      </c>
      <c r="B8" s="154" t="s">
        <v>93</v>
      </c>
      <c r="C8" t="s">
        <v>171</v>
      </c>
      <c r="D8" t="s">
        <v>338</v>
      </c>
      <c r="E8" s="100">
        <v>8.4573459715639814</v>
      </c>
      <c r="F8" s="100">
        <v>3.416575636237897</v>
      </c>
      <c r="G8" t="s">
        <v>349</v>
      </c>
      <c r="H8" s="100">
        <v>3.657342657342658</v>
      </c>
      <c r="I8" s="100">
        <v>2.280264803552865</v>
      </c>
      <c r="J8">
        <v>9</v>
      </c>
      <c r="K8" s="26">
        <f t="shared" si="8"/>
        <v>-4.800003314221323</v>
      </c>
      <c r="L8" s="44" t="s">
        <v>159</v>
      </c>
      <c r="M8">
        <v>0.5</v>
      </c>
      <c r="N8" s="45">
        <f t="shared" si="9"/>
        <v>0.90322580645161288</v>
      </c>
      <c r="O8" s="51">
        <f>SQRT((F8^2+I8^2-2*M8*F8*I8))</f>
        <v>3.0136190005484873</v>
      </c>
      <c r="P8" s="52">
        <f t="shared" si="10"/>
        <v>3.0136190005484873</v>
      </c>
      <c r="Q8" s="26">
        <f t="shared" si="11"/>
        <v>-1.5927704574956916</v>
      </c>
      <c r="R8" s="46">
        <f t="shared" si="12"/>
        <v>0.25205098501505746</v>
      </c>
      <c r="T8" s="47">
        <f t="shared" si="5"/>
        <v>-1.4386313809638505</v>
      </c>
      <c r="U8" s="48">
        <f t="shared" si="6"/>
        <v>0.20562744250968265</v>
      </c>
      <c r="V8" s="49">
        <f t="shared" si="7"/>
        <v>0.45346162187078481</v>
      </c>
    </row>
  </sheetData>
  <mergeCells count="2">
    <mergeCell ref="D3:F3"/>
    <mergeCell ref="G3:I3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15CB-6122-1246-83ED-A9131A58B829}">
  <sheetPr>
    <tabColor rgb="FF9437FF"/>
  </sheetPr>
  <dimension ref="A1:V14"/>
  <sheetViews>
    <sheetView zoomScale="150" workbookViewId="0">
      <selection activeCell="K18" sqref="K18"/>
    </sheetView>
  </sheetViews>
  <sheetFormatPr baseColWidth="10" defaultRowHeight="15" x14ac:dyDescent="0.2"/>
  <cols>
    <col min="1" max="1" width="32.6640625" customWidth="1"/>
    <col min="2" max="2" width="14.83203125" customWidth="1"/>
    <col min="3" max="3" width="14" bestFit="1" customWidth="1"/>
    <col min="6" max="7" width="11" customWidth="1"/>
  </cols>
  <sheetData>
    <row r="1" spans="1:22" ht="24" x14ac:dyDescent="0.3">
      <c r="A1" s="18" t="s">
        <v>173</v>
      </c>
    </row>
    <row r="2" spans="1:22" s="35" customFormat="1" ht="17" x14ac:dyDescent="0.25">
      <c r="A2" s="27" t="s">
        <v>123</v>
      </c>
      <c r="B2" s="28" t="s">
        <v>124</v>
      </c>
      <c r="C2" s="29" t="s">
        <v>125</v>
      </c>
      <c r="D2" s="28" t="s">
        <v>126</v>
      </c>
      <c r="E2" s="27" t="s">
        <v>127</v>
      </c>
      <c r="F2" s="27" t="s">
        <v>128</v>
      </c>
      <c r="G2" s="28" t="s">
        <v>129</v>
      </c>
      <c r="H2" s="27" t="s">
        <v>130</v>
      </c>
      <c r="I2" s="27" t="s">
        <v>131</v>
      </c>
      <c r="J2" s="27" t="s">
        <v>3</v>
      </c>
      <c r="K2" s="27" t="s">
        <v>132</v>
      </c>
      <c r="L2" s="30" t="s">
        <v>133</v>
      </c>
      <c r="M2" s="31" t="s">
        <v>134</v>
      </c>
      <c r="N2" s="32" t="s">
        <v>135</v>
      </c>
      <c r="O2" s="31" t="s">
        <v>136</v>
      </c>
      <c r="P2" s="33" t="s">
        <v>137</v>
      </c>
      <c r="Q2" s="31" t="s">
        <v>138</v>
      </c>
      <c r="R2" s="34" t="s">
        <v>139</v>
      </c>
      <c r="T2" s="36" t="s">
        <v>140</v>
      </c>
      <c r="U2" s="37" t="s">
        <v>141</v>
      </c>
      <c r="V2" s="38" t="s">
        <v>142</v>
      </c>
    </row>
    <row r="3" spans="1:22" ht="16" x14ac:dyDescent="0.2">
      <c r="A3" s="19" t="s">
        <v>143</v>
      </c>
      <c r="B3" s="20" t="s">
        <v>144</v>
      </c>
      <c r="C3" s="20"/>
      <c r="D3" s="239" t="s">
        <v>145</v>
      </c>
      <c r="E3" s="240"/>
      <c r="F3" s="241"/>
      <c r="G3" s="242" t="s">
        <v>146</v>
      </c>
      <c r="H3" s="243"/>
      <c r="I3" s="244"/>
      <c r="J3" s="54"/>
      <c r="K3" s="40" t="s">
        <v>147</v>
      </c>
      <c r="L3" s="41"/>
      <c r="M3" s="39"/>
      <c r="N3" s="21" t="s">
        <v>148</v>
      </c>
      <c r="O3" s="42" t="s">
        <v>149</v>
      </c>
      <c r="P3" s="23" t="s">
        <v>150</v>
      </c>
      <c r="Q3" s="42" t="s">
        <v>151</v>
      </c>
      <c r="R3" s="21" t="s">
        <v>152</v>
      </c>
      <c r="T3" s="22" t="s">
        <v>153</v>
      </c>
      <c r="U3" s="23" t="s">
        <v>154</v>
      </c>
      <c r="V3" s="24" t="s">
        <v>155</v>
      </c>
    </row>
    <row r="4" spans="1:22" ht="17" x14ac:dyDescent="0.25">
      <c r="A4" t="s">
        <v>228</v>
      </c>
      <c r="B4" s="154" t="s">
        <v>93</v>
      </c>
      <c r="C4" t="s">
        <v>172</v>
      </c>
      <c r="D4" t="s">
        <v>318</v>
      </c>
      <c r="E4" s="100">
        <v>2.11</v>
      </c>
      <c r="F4" s="100">
        <v>1.39</v>
      </c>
      <c r="G4" s="100" t="s">
        <v>351</v>
      </c>
      <c r="H4" s="100">
        <v>2.7</v>
      </c>
      <c r="I4" s="100">
        <v>0.56000000000000005</v>
      </c>
      <c r="J4">
        <v>14</v>
      </c>
      <c r="K4" s="26">
        <f>H4-E4</f>
        <v>0.5900000000000003</v>
      </c>
      <c r="L4" s="44" t="s">
        <v>159</v>
      </c>
      <c r="M4">
        <v>0.5</v>
      </c>
      <c r="N4" s="45">
        <f>1-(3/(4*(J4-1)-1))</f>
        <v>0.94117647058823528</v>
      </c>
      <c r="O4" s="51">
        <f>SQRT((F4^2+I4^2-2*M4*F4*I4))</f>
        <v>1.211321592311472</v>
      </c>
      <c r="P4" s="52">
        <f>O4/SQRT(2*(1-M4))</f>
        <v>1.211321592311472</v>
      </c>
      <c r="Q4" s="26">
        <f>K4/P4</f>
        <v>0.48707131429412448</v>
      </c>
      <c r="R4" s="46">
        <f>((1/J4)+(Q4^2/(2*J4)))*2*(1-M4)</f>
        <v>7.9901373757435917E-2</v>
      </c>
      <c r="T4" s="47">
        <f>Q4*N4</f>
        <v>0.45842006051211714</v>
      </c>
      <c r="U4" s="48">
        <f>N4^2*R4</f>
        <v>7.0777687480635273E-2</v>
      </c>
      <c r="V4" s="49">
        <f>SQRT(U4)</f>
        <v>0.26604076281772177</v>
      </c>
    </row>
    <row r="5" spans="1:22" ht="17" x14ac:dyDescent="0.25">
      <c r="A5" t="s">
        <v>229</v>
      </c>
      <c r="B5" s="154" t="s">
        <v>93</v>
      </c>
      <c r="C5" t="s">
        <v>172</v>
      </c>
      <c r="D5" t="s">
        <v>320</v>
      </c>
      <c r="E5" s="100">
        <v>1.1000000000000001</v>
      </c>
      <c r="F5" s="100">
        <v>0.46</v>
      </c>
      <c r="G5" s="100" t="s">
        <v>352</v>
      </c>
      <c r="H5" s="100">
        <v>1.8</v>
      </c>
      <c r="I5" s="100">
        <v>0.44</v>
      </c>
      <c r="J5">
        <v>14</v>
      </c>
      <c r="K5" s="26">
        <f t="shared" ref="K5:K14" si="0">H5-E5</f>
        <v>0.7</v>
      </c>
      <c r="L5" s="44" t="s">
        <v>159</v>
      </c>
      <c r="M5">
        <v>0.5</v>
      </c>
      <c r="N5" s="45">
        <f>1-(3/(4*(J5-1)-1))</f>
        <v>0.94117647058823528</v>
      </c>
      <c r="O5" s="51">
        <f t="shared" ref="O5:O14" si="1">SQRT((F5^2+I5^2-2*M5*F5*I5))</f>
        <v>0.4503332099679081</v>
      </c>
      <c r="P5" s="52">
        <f t="shared" ref="P5:P11" si="2">O5/SQRT(2*(1-M5))</f>
        <v>0.4503332099679081</v>
      </c>
      <c r="Q5" s="26">
        <f t="shared" ref="Q5:Q11" si="3">K5/P5</f>
        <v>1.5544045708951462</v>
      </c>
      <c r="R5" s="46">
        <f t="shared" ref="R5:R11" si="4">((1/J5)+(Q5^2/(2*J5)))*2*(1-M5)</f>
        <v>0.15772048464356153</v>
      </c>
      <c r="T5" s="47">
        <f t="shared" ref="T5:T14" si="5">Q5*N5</f>
        <v>1.462969007901314</v>
      </c>
      <c r="U5" s="48">
        <f t="shared" ref="U5:U14" si="6">N5^2*R5</f>
        <v>0.13971087913062891</v>
      </c>
      <c r="V5" s="49">
        <f t="shared" ref="V5:V14" si="7">SQRT(U5)</f>
        <v>0.37377918498844864</v>
      </c>
    </row>
    <row r="6" spans="1:22" ht="17" x14ac:dyDescent="0.25">
      <c r="A6" t="s">
        <v>28</v>
      </c>
      <c r="B6" s="154" t="s">
        <v>93</v>
      </c>
      <c r="C6" t="s">
        <v>172</v>
      </c>
      <c r="D6" t="s">
        <v>322</v>
      </c>
      <c r="E6" s="100">
        <v>2.2031879999999999</v>
      </c>
      <c r="F6" s="100">
        <v>0.54741600000000001</v>
      </c>
      <c r="G6" s="100" t="s">
        <v>353</v>
      </c>
      <c r="H6" s="100">
        <v>2.6788889999999999</v>
      </c>
      <c r="I6" s="100">
        <v>0.62571699999999997</v>
      </c>
      <c r="J6">
        <v>31</v>
      </c>
      <c r="K6" s="26">
        <f t="shared" si="0"/>
        <v>0.47570099999999993</v>
      </c>
      <c r="L6" s="44" t="s">
        <v>159</v>
      </c>
      <c r="M6">
        <v>0.5</v>
      </c>
      <c r="N6" s="45">
        <f t="shared" ref="N6:N11" si="8">1-(3/(4*(J6-1)-1))</f>
        <v>0.97478991596638653</v>
      </c>
      <c r="O6" s="51">
        <f t="shared" si="1"/>
        <v>0.59047315254209476</v>
      </c>
      <c r="P6" s="52">
        <f t="shared" si="2"/>
        <v>0.59047315254209476</v>
      </c>
      <c r="Q6" s="26">
        <f t="shared" si="3"/>
        <v>0.80562680615032245</v>
      </c>
      <c r="R6" s="46">
        <f t="shared" si="4"/>
        <v>4.2726363722386598E-2</v>
      </c>
      <c r="T6" s="47">
        <f t="shared" si="5"/>
        <v>0.78531688666754118</v>
      </c>
      <c r="U6" s="48">
        <f t="shared" si="6"/>
        <v>4.0599247952011447E-2</v>
      </c>
      <c r="V6" s="49">
        <f t="shared" si="7"/>
        <v>0.20149255061170734</v>
      </c>
    </row>
    <row r="7" spans="1:22" ht="17" x14ac:dyDescent="0.25">
      <c r="A7" t="s">
        <v>32</v>
      </c>
      <c r="B7" s="154" t="s">
        <v>93</v>
      </c>
      <c r="C7" t="s">
        <v>172</v>
      </c>
      <c r="D7" t="s">
        <v>324</v>
      </c>
      <c r="E7" s="100">
        <v>2.1578650000000001</v>
      </c>
      <c r="F7" s="100">
        <v>0.27479500000000001</v>
      </c>
      <c r="G7" s="100" t="s">
        <v>354</v>
      </c>
      <c r="H7" s="100">
        <v>2.312926</v>
      </c>
      <c r="I7" s="100">
        <v>0.37062299999999998</v>
      </c>
      <c r="J7">
        <v>31</v>
      </c>
      <c r="K7" s="26">
        <f t="shared" si="0"/>
        <v>0.15506099999999989</v>
      </c>
      <c r="L7" s="44" t="s">
        <v>159</v>
      </c>
      <c r="M7">
        <v>0.5</v>
      </c>
      <c r="N7" s="45">
        <f t="shared" si="8"/>
        <v>0.97478991596638653</v>
      </c>
      <c r="O7" s="51">
        <f t="shared" si="1"/>
        <v>0.33320917284642693</v>
      </c>
      <c r="P7" s="52">
        <f t="shared" si="2"/>
        <v>0.33320917284642693</v>
      </c>
      <c r="Q7" s="26">
        <f t="shared" si="3"/>
        <v>0.4653563366080144</v>
      </c>
      <c r="R7" s="46">
        <f t="shared" si="4"/>
        <v>3.5750911613245673E-2</v>
      </c>
      <c r="T7" s="47">
        <f t="shared" si="5"/>
        <v>0.45362466425655185</v>
      </c>
      <c r="U7" s="48">
        <f t="shared" si="6"/>
        <v>3.3971066073570637E-2</v>
      </c>
      <c r="V7" s="49">
        <f t="shared" si="7"/>
        <v>0.184312414322993</v>
      </c>
    </row>
    <row r="8" spans="1:22" ht="17" x14ac:dyDescent="0.25">
      <c r="A8" t="s">
        <v>35</v>
      </c>
      <c r="B8" s="154" t="s">
        <v>93</v>
      </c>
      <c r="C8" t="s">
        <v>172</v>
      </c>
      <c r="D8" t="s">
        <v>326</v>
      </c>
      <c r="E8" s="100">
        <v>1.8878839999999999</v>
      </c>
      <c r="F8" s="100">
        <v>0.387762</v>
      </c>
      <c r="G8" s="100" t="s">
        <v>355</v>
      </c>
      <c r="H8" s="100">
        <v>2.0862780000000001</v>
      </c>
      <c r="I8" s="100">
        <v>0.455598</v>
      </c>
      <c r="J8">
        <v>16</v>
      </c>
      <c r="K8" s="26">
        <f t="shared" si="0"/>
        <v>0.19839400000000018</v>
      </c>
      <c r="L8" s="44" t="s">
        <v>159</v>
      </c>
      <c r="M8">
        <v>0.5</v>
      </c>
      <c r="N8" s="45">
        <f t="shared" si="8"/>
        <v>0.94915254237288138</v>
      </c>
      <c r="O8" s="51">
        <f t="shared" si="1"/>
        <v>0.42575264482091008</v>
      </c>
      <c r="P8" s="52">
        <f t="shared" si="2"/>
        <v>0.42575264482091008</v>
      </c>
      <c r="Q8" s="26">
        <f t="shared" si="3"/>
        <v>0.46598418685914039</v>
      </c>
      <c r="R8" s="46">
        <f t="shared" si="4"/>
        <v>6.9285664450086701E-2</v>
      </c>
      <c r="T8" s="47">
        <f t="shared" si="5"/>
        <v>0.44229007566291295</v>
      </c>
      <c r="U8" s="48">
        <f t="shared" si="6"/>
        <v>6.241880026299107E-2</v>
      </c>
      <c r="V8" s="49">
        <f t="shared" si="7"/>
        <v>0.2498375477445115</v>
      </c>
    </row>
    <row r="9" spans="1:22" ht="17" x14ac:dyDescent="0.25">
      <c r="A9" t="s">
        <v>38</v>
      </c>
      <c r="B9" s="154" t="s">
        <v>93</v>
      </c>
      <c r="C9" t="s">
        <v>172</v>
      </c>
      <c r="D9" t="s">
        <v>328</v>
      </c>
      <c r="E9" s="100">
        <v>1.8059719999999999</v>
      </c>
      <c r="F9" s="100">
        <v>0.94424699999999995</v>
      </c>
      <c r="G9" s="100" t="s">
        <v>356</v>
      </c>
      <c r="H9" s="100">
        <v>1.7624029999999999</v>
      </c>
      <c r="I9" s="100">
        <v>0.48129699999999997</v>
      </c>
      <c r="J9">
        <v>16</v>
      </c>
      <c r="K9" s="26">
        <f t="shared" si="0"/>
        <v>-4.3568999999999969E-2</v>
      </c>
      <c r="L9" s="44" t="s">
        <v>159</v>
      </c>
      <c r="M9">
        <v>0.5</v>
      </c>
      <c r="N9" s="45">
        <f t="shared" si="8"/>
        <v>0.94915254237288138</v>
      </c>
      <c r="O9" s="51">
        <f t="shared" si="1"/>
        <v>0.81779334239097345</v>
      </c>
      <c r="P9" s="52">
        <f t="shared" si="2"/>
        <v>0.81779334239097345</v>
      </c>
      <c r="Q9" s="26">
        <f t="shared" si="3"/>
        <v>-5.3276295784724488E-2</v>
      </c>
      <c r="R9" s="46">
        <f t="shared" si="4"/>
        <v>6.2588698865391923E-2</v>
      </c>
      <c r="T9" s="47">
        <f t="shared" si="5"/>
        <v>-5.056733159228087E-2</v>
      </c>
      <c r="U9" s="48">
        <f t="shared" si="6"/>
        <v>5.638556726281789E-2</v>
      </c>
      <c r="V9" s="49">
        <f t="shared" si="7"/>
        <v>0.23745645340318272</v>
      </c>
    </row>
    <row r="10" spans="1:22" ht="17" x14ac:dyDescent="0.25">
      <c r="A10" t="s">
        <v>40</v>
      </c>
      <c r="B10" s="154" t="s">
        <v>93</v>
      </c>
      <c r="C10" t="s">
        <v>172</v>
      </c>
      <c r="D10" t="s">
        <v>330</v>
      </c>
      <c r="E10" s="100">
        <v>1.639578</v>
      </c>
      <c r="F10" s="100">
        <v>0.35361999999999999</v>
      </c>
      <c r="G10" s="100" t="s">
        <v>357</v>
      </c>
      <c r="H10" s="100">
        <v>2.1689029999999998</v>
      </c>
      <c r="I10" s="100">
        <v>0.84267499999999995</v>
      </c>
      <c r="J10">
        <v>16</v>
      </c>
      <c r="K10" s="26">
        <f t="shared" si="0"/>
        <v>0.52932499999999982</v>
      </c>
      <c r="L10" s="44" t="s">
        <v>159</v>
      </c>
      <c r="M10">
        <v>0.5</v>
      </c>
      <c r="N10" s="45">
        <f t="shared" si="8"/>
        <v>0.94915254237288138</v>
      </c>
      <c r="O10" s="51">
        <f t="shared" si="1"/>
        <v>0.73291304158474346</v>
      </c>
      <c r="P10" s="52">
        <f t="shared" si="2"/>
        <v>0.73291304158474346</v>
      </c>
      <c r="Q10" s="26">
        <f t="shared" si="3"/>
        <v>0.72222074102469946</v>
      </c>
      <c r="R10" s="46">
        <f t="shared" si="4"/>
        <v>7.8800087461445817E-2</v>
      </c>
      <c r="T10" s="47">
        <f t="shared" si="5"/>
        <v>0.68549765249801986</v>
      </c>
      <c r="U10" s="48">
        <f t="shared" si="6"/>
        <v>7.0990254030190783E-2</v>
      </c>
      <c r="V10" s="49">
        <f t="shared" si="7"/>
        <v>0.26643996327538927</v>
      </c>
    </row>
    <row r="11" spans="1:22" ht="17" x14ac:dyDescent="0.25">
      <c r="A11" t="s">
        <v>193</v>
      </c>
      <c r="B11" s="154" t="s">
        <v>93</v>
      </c>
      <c r="C11" t="s">
        <v>172</v>
      </c>
      <c r="D11" t="s">
        <v>332</v>
      </c>
      <c r="E11" s="100">
        <v>1.4232400000000001</v>
      </c>
      <c r="F11" s="100">
        <v>0.487848</v>
      </c>
      <c r="G11" s="100" t="s">
        <v>358</v>
      </c>
      <c r="H11" s="100">
        <v>1.7276180000000001</v>
      </c>
      <c r="I11" s="100">
        <v>0.45898499999999998</v>
      </c>
      <c r="J11">
        <v>16</v>
      </c>
      <c r="K11" s="26">
        <f t="shared" si="0"/>
        <v>0.30437800000000004</v>
      </c>
      <c r="L11" s="44" t="s">
        <v>159</v>
      </c>
      <c r="M11">
        <v>0.5</v>
      </c>
      <c r="N11" s="45">
        <f t="shared" si="8"/>
        <v>0.94915254237288138</v>
      </c>
      <c r="O11" s="51">
        <f t="shared" si="1"/>
        <v>0.47407592962414785</v>
      </c>
      <c r="P11" s="52">
        <f t="shared" si="2"/>
        <v>0.47407592962414785</v>
      </c>
      <c r="Q11" s="26">
        <f t="shared" si="3"/>
        <v>0.64204483075382879</v>
      </c>
      <c r="R11" s="46">
        <f t="shared" si="4"/>
        <v>7.5381923896803524E-2</v>
      </c>
      <c r="T11" s="47">
        <f t="shared" si="5"/>
        <v>0.60939848342736291</v>
      </c>
      <c r="U11" s="48">
        <f t="shared" si="6"/>
        <v>6.7910862780918096E-2</v>
      </c>
      <c r="V11" s="49">
        <f t="shared" si="7"/>
        <v>0.26059712734586715</v>
      </c>
    </row>
    <row r="12" spans="1:22" ht="17" x14ac:dyDescent="0.25">
      <c r="A12" t="s">
        <v>196</v>
      </c>
      <c r="B12" s="207" t="s">
        <v>93</v>
      </c>
      <c r="C12" t="s">
        <v>172</v>
      </c>
      <c r="D12" t="s">
        <v>334</v>
      </c>
      <c r="E12" s="100">
        <v>1.312295</v>
      </c>
      <c r="F12" s="100">
        <v>0.369535</v>
      </c>
      <c r="G12" s="100" t="s">
        <v>359</v>
      </c>
      <c r="H12" s="100">
        <v>1.9443760000000001</v>
      </c>
      <c r="I12" s="100">
        <v>0.60220099999999999</v>
      </c>
      <c r="J12">
        <v>16</v>
      </c>
      <c r="K12" s="26">
        <f t="shared" si="0"/>
        <v>0.63208100000000011</v>
      </c>
      <c r="L12" s="44" t="s">
        <v>159</v>
      </c>
      <c r="M12">
        <v>0.5</v>
      </c>
      <c r="N12" s="45">
        <f t="shared" ref="N12:N14" si="9">1-(3/(4*(J12-1)-1))</f>
        <v>0.94915254237288138</v>
      </c>
      <c r="O12" s="51">
        <f t="shared" si="1"/>
        <v>0.52599221866012424</v>
      </c>
      <c r="P12" s="52">
        <f t="shared" ref="P12:P14" si="10">O12/SQRT(2*(1-M12))</f>
        <v>0.52599221866012424</v>
      </c>
      <c r="Q12" s="26">
        <f t="shared" ref="Q12:Q14" si="11">K12/P12</f>
        <v>1.2016926820897065</v>
      </c>
      <c r="R12" s="46">
        <f t="shared" ref="R12:R14" si="12">((1/J12)+(Q12^2/(2*J12)))*2*(1-M12)</f>
        <v>0.1076270406933735</v>
      </c>
      <c r="T12" s="47">
        <f t="shared" si="5"/>
        <v>1.1405896643563316</v>
      </c>
      <c r="U12" s="48">
        <f t="shared" si="6"/>
        <v>9.6960183744446801E-2</v>
      </c>
      <c r="V12" s="49">
        <f t="shared" si="7"/>
        <v>0.3113843023410891</v>
      </c>
    </row>
    <row r="13" spans="1:22" ht="17" x14ac:dyDescent="0.25">
      <c r="A13" t="s">
        <v>26</v>
      </c>
      <c r="B13" s="207" t="s">
        <v>93</v>
      </c>
      <c r="C13" t="s">
        <v>172</v>
      </c>
      <c r="D13" t="s">
        <v>336</v>
      </c>
      <c r="E13" s="100">
        <v>0.941577</v>
      </c>
      <c r="F13" s="100">
        <v>0.11540300000000001</v>
      </c>
      <c r="G13" s="100" t="s">
        <v>360</v>
      </c>
      <c r="H13" s="100">
        <v>9.8601690000000008</v>
      </c>
      <c r="I13" s="100">
        <v>1.08005</v>
      </c>
      <c r="J13">
        <v>3</v>
      </c>
      <c r="K13" s="26">
        <f t="shared" si="0"/>
        <v>8.9185920000000003</v>
      </c>
      <c r="L13" s="44" t="s">
        <v>159</v>
      </c>
      <c r="M13">
        <v>0.5</v>
      </c>
      <c r="N13" s="45">
        <f t="shared" si="9"/>
        <v>0.5714285714285714</v>
      </c>
      <c r="O13" s="51">
        <f t="shared" si="1"/>
        <v>1.0272219062885097</v>
      </c>
      <c r="P13" s="52">
        <f>O13/SQRT(2*(1-M13))</f>
        <v>1.0272219062885097</v>
      </c>
      <c r="Q13" s="26">
        <f t="shared" si="11"/>
        <v>8.6822447471199933</v>
      </c>
      <c r="R13" s="46">
        <f>((1/J13)+(Q13^2/(2*J13)))*2*(1-M13)</f>
        <v>12.896895641482121</v>
      </c>
      <c r="T13" s="47">
        <f t="shared" si="5"/>
        <v>4.9612827126399957</v>
      </c>
      <c r="U13" s="48">
        <f t="shared" si="6"/>
        <v>4.2112312298717125</v>
      </c>
      <c r="V13" s="49">
        <f t="shared" si="7"/>
        <v>2.0521284632965142</v>
      </c>
    </row>
    <row r="14" spans="1:22" ht="17" x14ac:dyDescent="0.25">
      <c r="A14" t="s">
        <v>42</v>
      </c>
      <c r="B14" s="207" t="s">
        <v>93</v>
      </c>
      <c r="C14" t="s">
        <v>172</v>
      </c>
      <c r="D14" t="s">
        <v>338</v>
      </c>
      <c r="E14" s="100">
        <v>8.4573459999999994</v>
      </c>
      <c r="F14" s="100">
        <v>3.4165760000000001</v>
      </c>
      <c r="G14" s="100" t="s">
        <v>361</v>
      </c>
      <c r="H14" s="100">
        <v>5.2667909999999996</v>
      </c>
      <c r="I14" s="100">
        <v>3.3286479999999998</v>
      </c>
      <c r="J14">
        <v>9</v>
      </c>
      <c r="K14" s="26">
        <f t="shared" si="0"/>
        <v>-3.1905549999999998</v>
      </c>
      <c r="L14" s="44" t="s">
        <v>159</v>
      </c>
      <c r="M14">
        <v>0.5</v>
      </c>
      <c r="N14" s="45">
        <f t="shared" si="9"/>
        <v>0.90322580645161288</v>
      </c>
      <c r="O14" s="51">
        <f t="shared" si="1"/>
        <v>3.3734715357376293</v>
      </c>
      <c r="P14" s="52">
        <f t="shared" si="10"/>
        <v>3.3734715357376293</v>
      </c>
      <c r="Q14" s="26">
        <f t="shared" si="11"/>
        <v>-0.94577795194064573</v>
      </c>
      <c r="R14" s="46">
        <f t="shared" si="12"/>
        <v>0.16080532968761346</v>
      </c>
      <c r="T14" s="47">
        <f t="shared" si="5"/>
        <v>-0.85425105336574447</v>
      </c>
      <c r="U14" s="48">
        <f t="shared" si="6"/>
        <v>0.13118769872537872</v>
      </c>
      <c r="V14" s="49">
        <f t="shared" si="7"/>
        <v>0.36219842452084011</v>
      </c>
    </row>
  </sheetData>
  <mergeCells count="2">
    <mergeCell ref="D3:F3"/>
    <mergeCell ref="G3:I3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F207-CD49-E04C-973E-EA5BBBA2721F}">
  <sheetPr>
    <tabColor theme="8"/>
  </sheetPr>
  <dimension ref="A1:Z103"/>
  <sheetViews>
    <sheetView zoomScale="132" workbookViewId="0">
      <selection activeCell="P16" sqref="P16"/>
    </sheetView>
  </sheetViews>
  <sheetFormatPr baseColWidth="10" defaultColWidth="11.5" defaultRowHeight="15" x14ac:dyDescent="0.2"/>
  <cols>
    <col min="2" max="2" width="30.5" bestFit="1" customWidth="1"/>
    <col min="3" max="3" width="14.1640625" bestFit="1" customWidth="1"/>
    <col min="14" max="14" width="10.33203125" bestFit="1" customWidth="1"/>
  </cols>
  <sheetData>
    <row r="1" spans="1:26" ht="17" thickBot="1" x14ac:dyDescent="0.25">
      <c r="A1" s="224" t="s">
        <v>66</v>
      </c>
      <c r="B1" s="224" t="s">
        <v>0</v>
      </c>
      <c r="C1" s="224" t="s">
        <v>102</v>
      </c>
      <c r="D1" s="224" t="s">
        <v>68</v>
      </c>
      <c r="E1" s="224" t="s">
        <v>103</v>
      </c>
      <c r="F1" s="224" t="s">
        <v>104</v>
      </c>
      <c r="G1" s="224" t="s">
        <v>105</v>
      </c>
      <c r="H1" s="224" t="s">
        <v>106</v>
      </c>
      <c r="I1" s="224" t="s">
        <v>107</v>
      </c>
      <c r="J1" s="224" t="s">
        <v>108</v>
      </c>
      <c r="K1" s="224" t="s">
        <v>109</v>
      </c>
      <c r="L1" s="224" t="s">
        <v>110</v>
      </c>
      <c r="M1" s="224" t="s">
        <v>111</v>
      </c>
      <c r="N1" s="224" t="s">
        <v>112</v>
      </c>
      <c r="O1" s="224" t="s">
        <v>113</v>
      </c>
      <c r="P1" s="224" t="s">
        <v>114</v>
      </c>
      <c r="Q1" s="224" t="s">
        <v>115</v>
      </c>
      <c r="R1" s="224" t="s">
        <v>116</v>
      </c>
      <c r="S1" s="224" t="s">
        <v>117</v>
      </c>
      <c r="T1" s="224" t="s">
        <v>118</v>
      </c>
      <c r="U1" s="224" t="s">
        <v>119</v>
      </c>
    </row>
    <row r="2" spans="1:26" x14ac:dyDescent="0.2">
      <c r="A2" s="220" t="s">
        <v>80</v>
      </c>
      <c r="B2" s="3" t="s">
        <v>200</v>
      </c>
      <c r="C2" s="221" t="s">
        <v>156</v>
      </c>
      <c r="D2" s="144">
        <v>16</v>
      </c>
      <c r="E2" s="144">
        <f>$X$3</f>
        <v>0.5</v>
      </c>
      <c r="F2" s="222">
        <v>0.05</v>
      </c>
      <c r="G2" s="222">
        <v>0.01</v>
      </c>
      <c r="H2" s="223">
        <v>0.06</v>
      </c>
      <c r="I2" s="223">
        <v>0.01</v>
      </c>
      <c r="J2" s="74">
        <f>H2-F2</f>
        <v>9.999999999999995E-3</v>
      </c>
      <c r="K2" s="74">
        <f>SQRT((G2^2)+(I2^2)-2*E2*G2*I2)</f>
        <v>0.01</v>
      </c>
      <c r="L2" s="74">
        <f>(K2^2)/D2</f>
        <v>6.2500000000000003E-6</v>
      </c>
      <c r="M2" s="74">
        <f>SQRT(L2)</f>
        <v>2.5000000000000001E-3</v>
      </c>
      <c r="N2" s="74">
        <f>K2/SQRT(2*(1-E2))</f>
        <v>0.01</v>
      </c>
      <c r="O2" s="74">
        <f>J2/N2</f>
        <v>0.99999999999999944</v>
      </c>
      <c r="P2" s="74">
        <f>((1/D2)+(O2^2)/(2*D2))*2*(1-E2)</f>
        <v>9.3749999999999972E-2</v>
      </c>
      <c r="Q2" s="74">
        <f>SQRT(P2)</f>
        <v>0.30618621784789724</v>
      </c>
      <c r="R2" s="74">
        <f>1-(3/(4*(D2-1)-1))</f>
        <v>0.94915254237288138</v>
      </c>
      <c r="S2" s="233">
        <f>R2*O2</f>
        <v>0.94915254237288083</v>
      </c>
      <c r="T2" s="233">
        <f>R2^2*P2</f>
        <v>8.4458488939959761E-2</v>
      </c>
      <c r="U2" s="233">
        <f>SQRT(T2)</f>
        <v>0.29061742710986854</v>
      </c>
      <c r="X2" s="104" t="s">
        <v>103</v>
      </c>
    </row>
    <row r="3" spans="1:26" x14ac:dyDescent="0.2">
      <c r="A3" s="106" t="s">
        <v>80</v>
      </c>
      <c r="B3" s="3" t="s">
        <v>201</v>
      </c>
      <c r="C3" s="213" t="s">
        <v>156</v>
      </c>
      <c r="D3" s="105">
        <v>10</v>
      </c>
      <c r="E3" s="105">
        <f t="shared" ref="E3:E66" si="0">$X$3</f>
        <v>0.5</v>
      </c>
      <c r="F3" s="142">
        <v>0.03</v>
      </c>
      <c r="G3" s="142">
        <v>0.01</v>
      </c>
      <c r="H3" s="143">
        <v>0.06</v>
      </c>
      <c r="I3" s="143">
        <v>0.02</v>
      </c>
      <c r="J3" s="72">
        <f t="shared" ref="J3:J61" si="1">H3-F3</f>
        <v>0.03</v>
      </c>
      <c r="K3" s="72">
        <f t="shared" ref="K3:K61" si="2">SQRT((G3^2)+(I3^2)-2*E3*G3*I3)</f>
        <v>1.7320508075688773E-2</v>
      </c>
      <c r="L3" s="72">
        <f t="shared" ref="L3:L61" si="3">(K3^2)/D3</f>
        <v>3.0000000000000004E-5</v>
      </c>
      <c r="M3" s="72">
        <f t="shared" ref="M3:M61" si="4">SQRT(L3)</f>
        <v>5.4772255750516613E-3</v>
      </c>
      <c r="N3" s="72">
        <f t="shared" ref="N3:N61" si="5">K3/SQRT(2*(1-E3))</f>
        <v>1.7320508075688773E-2</v>
      </c>
      <c r="O3" s="72">
        <f t="shared" ref="O3:O61" si="6">J3/N3</f>
        <v>1.7320508075688772</v>
      </c>
      <c r="P3" s="72">
        <f t="shared" ref="P3:P61" si="7">((1/D3)+(O3^2)/(2*D3))*2*(1-E3)</f>
        <v>0.24999999999999997</v>
      </c>
      <c r="Q3" s="72">
        <f t="shared" ref="Q3:Q61" si="8">SQRT(P3)</f>
        <v>0.49999999999999994</v>
      </c>
      <c r="R3" s="72">
        <f t="shared" ref="R3:R61" si="9">1-(3/(4*(D3-1)-1))</f>
        <v>0.91428571428571426</v>
      </c>
      <c r="S3" s="234">
        <f t="shared" ref="S3:S61" si="10">R3*O3</f>
        <v>1.5835893097772591</v>
      </c>
      <c r="T3" s="234">
        <f t="shared" ref="T3:T61" si="11">R3^2*P3</f>
        <v>0.20897959183673465</v>
      </c>
      <c r="U3" s="234">
        <f t="shared" ref="U3:U61" si="12">SQRT(T3)</f>
        <v>0.45714285714285707</v>
      </c>
      <c r="X3" s="7">
        <v>0.5</v>
      </c>
      <c r="Z3" t="s">
        <v>120</v>
      </c>
    </row>
    <row r="4" spans="1:26" x14ac:dyDescent="0.2">
      <c r="A4" s="106" t="s">
        <v>80</v>
      </c>
      <c r="B4" s="7" t="s">
        <v>12</v>
      </c>
      <c r="C4" s="213" t="s">
        <v>156</v>
      </c>
      <c r="D4" s="105">
        <v>7</v>
      </c>
      <c r="E4" s="105">
        <f t="shared" si="0"/>
        <v>0.5</v>
      </c>
      <c r="F4" s="142">
        <v>9.5566666666666666</v>
      </c>
      <c r="G4" s="142">
        <v>5.6949604832969358</v>
      </c>
      <c r="H4" s="143">
        <v>14.12666666666667</v>
      </c>
      <c r="I4" s="143">
        <v>7.6606403920478154</v>
      </c>
      <c r="J4" s="72">
        <f t="shared" si="1"/>
        <v>4.5700000000000038</v>
      </c>
      <c r="K4" s="72">
        <f t="shared" si="2"/>
        <v>6.8913671947682138</v>
      </c>
      <c r="L4" s="72">
        <f t="shared" si="3"/>
        <v>6.7844202590182174</v>
      </c>
      <c r="M4" s="72">
        <f t="shared" si="4"/>
        <v>2.6046919700836444</v>
      </c>
      <c r="N4" s="72">
        <f t="shared" si="5"/>
        <v>6.8913671947682138</v>
      </c>
      <c r="O4" s="72">
        <f t="shared" si="6"/>
        <v>0.66314852638667332</v>
      </c>
      <c r="P4" s="72">
        <f t="shared" si="7"/>
        <v>0.1742689977177726</v>
      </c>
      <c r="Q4" s="72">
        <f t="shared" si="8"/>
        <v>0.41745538410442451</v>
      </c>
      <c r="R4" s="72">
        <f t="shared" si="9"/>
        <v>0.86956521739130432</v>
      </c>
      <c r="S4" s="234">
        <f t="shared" si="10"/>
        <v>0.57665089251015067</v>
      </c>
      <c r="T4" s="234">
        <f t="shared" si="11"/>
        <v>0.13177239903045188</v>
      </c>
      <c r="U4" s="234">
        <f t="shared" si="12"/>
        <v>0.36300468182993434</v>
      </c>
    </row>
    <row r="5" spans="1:26" x14ac:dyDescent="0.2">
      <c r="A5" s="106" t="s">
        <v>80</v>
      </c>
      <c r="B5" s="7" t="s">
        <v>12</v>
      </c>
      <c r="C5" s="213" t="s">
        <v>171</v>
      </c>
      <c r="D5" s="105">
        <v>7</v>
      </c>
      <c r="E5" s="105">
        <f t="shared" si="0"/>
        <v>0.5</v>
      </c>
      <c r="F5" s="142">
        <v>9.5566666666666666</v>
      </c>
      <c r="G5" s="142">
        <v>5.6949604832969358</v>
      </c>
      <c r="H5" s="143">
        <v>6.7266666666666666</v>
      </c>
      <c r="I5" s="143">
        <v>5.6122917020877869</v>
      </c>
      <c r="J5" s="72">
        <f t="shared" si="1"/>
        <v>-2.83</v>
      </c>
      <c r="K5" s="72">
        <f t="shared" si="2"/>
        <v>5.6540793761240966</v>
      </c>
      <c r="L5" s="72">
        <f t="shared" si="3"/>
        <v>4.5669447987874081</v>
      </c>
      <c r="M5" s="72">
        <f t="shared" si="4"/>
        <v>2.1370411317490845</v>
      </c>
      <c r="N5" s="72">
        <f t="shared" si="5"/>
        <v>5.6540793761240966</v>
      </c>
      <c r="O5" s="72">
        <f t="shared" si="6"/>
        <v>-0.50052357099025746</v>
      </c>
      <c r="P5" s="72">
        <f t="shared" si="7"/>
        <v>0.16075170322263138</v>
      </c>
      <c r="Q5" s="72">
        <f t="shared" si="8"/>
        <v>0.40093852798481638</v>
      </c>
      <c r="R5" s="72">
        <f t="shared" si="9"/>
        <v>0.86956521739130432</v>
      </c>
      <c r="S5" s="234">
        <f t="shared" si="10"/>
        <v>-0.43523788781761519</v>
      </c>
      <c r="T5" s="234">
        <f t="shared" si="11"/>
        <v>0.12155138239896512</v>
      </c>
      <c r="U5" s="234">
        <f t="shared" si="12"/>
        <v>0.3486421982476664</v>
      </c>
      <c r="Z5" t="s">
        <v>121</v>
      </c>
    </row>
    <row r="6" spans="1:26" x14ac:dyDescent="0.2">
      <c r="A6" s="106" t="s">
        <v>80</v>
      </c>
      <c r="B6" s="7" t="s">
        <v>228</v>
      </c>
      <c r="C6" s="213" t="s">
        <v>156</v>
      </c>
      <c r="D6" s="105">
        <v>14</v>
      </c>
      <c r="E6" s="105">
        <f t="shared" si="0"/>
        <v>0.5</v>
      </c>
      <c r="F6" s="142">
        <v>23.9</v>
      </c>
      <c r="G6" s="142">
        <v>3.14</v>
      </c>
      <c r="H6" s="143">
        <v>31.65</v>
      </c>
      <c r="I6" s="143">
        <v>3.23</v>
      </c>
      <c r="J6" s="72">
        <f t="shared" si="1"/>
        <v>7.75</v>
      </c>
      <c r="K6" s="72">
        <f t="shared" si="2"/>
        <v>3.185953546428447</v>
      </c>
      <c r="L6" s="72">
        <f t="shared" si="3"/>
        <v>0.72502142857142837</v>
      </c>
      <c r="M6" s="72">
        <f t="shared" si="4"/>
        <v>0.85148190149375946</v>
      </c>
      <c r="N6" s="72">
        <f t="shared" si="5"/>
        <v>3.185953546428447</v>
      </c>
      <c r="O6" s="72">
        <f t="shared" si="6"/>
        <v>2.4325527309360777</v>
      </c>
      <c r="P6" s="72">
        <f t="shared" si="7"/>
        <v>0.28276117102802034</v>
      </c>
      <c r="Q6" s="72">
        <f t="shared" si="8"/>
        <v>0.53175292291441179</v>
      </c>
      <c r="R6" s="72">
        <f t="shared" si="9"/>
        <v>0.94117647058823528</v>
      </c>
      <c r="S6" s="234">
        <f t="shared" si="10"/>
        <v>2.2894613938221906</v>
      </c>
      <c r="T6" s="234">
        <f t="shared" si="11"/>
        <v>0.25047356326357512</v>
      </c>
      <c r="U6" s="234">
        <f t="shared" si="12"/>
        <v>0.50047333921356407</v>
      </c>
    </row>
    <row r="7" spans="1:26" x14ac:dyDescent="0.2">
      <c r="A7" s="106" t="s">
        <v>80</v>
      </c>
      <c r="B7" s="7" t="s">
        <v>228</v>
      </c>
      <c r="C7" s="213" t="s">
        <v>172</v>
      </c>
      <c r="D7" s="105">
        <v>14</v>
      </c>
      <c r="E7" s="105">
        <f t="shared" si="0"/>
        <v>0.5</v>
      </c>
      <c r="F7" s="142">
        <v>23.9</v>
      </c>
      <c r="G7" s="142">
        <v>3.14</v>
      </c>
      <c r="H7" s="143">
        <v>35.36</v>
      </c>
      <c r="I7" s="143">
        <v>5.34</v>
      </c>
      <c r="J7" s="72">
        <f t="shared" si="1"/>
        <v>11.46</v>
      </c>
      <c r="K7" s="72">
        <f t="shared" si="2"/>
        <v>4.6483975733579417</v>
      </c>
      <c r="L7" s="72">
        <f t="shared" si="3"/>
        <v>1.5434000000000001</v>
      </c>
      <c r="M7" s="72">
        <f t="shared" si="4"/>
        <v>1.2423365083583433</v>
      </c>
      <c r="N7" s="72">
        <f t="shared" si="5"/>
        <v>4.6483975733579417</v>
      </c>
      <c r="O7" s="72">
        <f t="shared" si="6"/>
        <v>2.4653657134842377</v>
      </c>
      <c r="P7" s="72">
        <f t="shared" si="7"/>
        <v>0.28850100361513015</v>
      </c>
      <c r="Q7" s="72">
        <f t="shared" si="8"/>
        <v>0.53712289433157678</v>
      </c>
      <c r="R7" s="72">
        <f t="shared" si="9"/>
        <v>0.94117647058823528</v>
      </c>
      <c r="S7" s="234">
        <f t="shared" si="10"/>
        <v>2.3203442009263413</v>
      </c>
      <c r="T7" s="234">
        <f t="shared" si="11"/>
        <v>0.25555798244108413</v>
      </c>
      <c r="U7" s="234">
        <f t="shared" si="12"/>
        <v>0.50552742995913102</v>
      </c>
    </row>
    <row r="8" spans="1:26" x14ac:dyDescent="0.2">
      <c r="A8" s="106" t="s">
        <v>80</v>
      </c>
      <c r="B8" s="7" t="s">
        <v>229</v>
      </c>
      <c r="C8" s="213" t="s">
        <v>156</v>
      </c>
      <c r="D8" s="105">
        <v>14</v>
      </c>
      <c r="E8" s="105">
        <f t="shared" si="0"/>
        <v>0.5</v>
      </c>
      <c r="F8" s="142">
        <v>17.05</v>
      </c>
      <c r="G8" s="142">
        <v>4.08</v>
      </c>
      <c r="H8" s="143">
        <v>25.07</v>
      </c>
      <c r="I8" s="143">
        <v>5.1100000000000003</v>
      </c>
      <c r="J8" s="72">
        <f t="shared" si="1"/>
        <v>8.02</v>
      </c>
      <c r="K8" s="72">
        <f t="shared" si="2"/>
        <v>4.6807798495549857</v>
      </c>
      <c r="L8" s="72">
        <f t="shared" si="3"/>
        <v>1.5649785714285709</v>
      </c>
      <c r="M8" s="72">
        <f t="shared" si="4"/>
        <v>1.2509910357107163</v>
      </c>
      <c r="N8" s="72">
        <f t="shared" si="5"/>
        <v>4.6807798495549857</v>
      </c>
      <c r="O8" s="72">
        <f t="shared" si="6"/>
        <v>1.7133897038038399</v>
      </c>
      <c r="P8" s="72">
        <f t="shared" si="7"/>
        <v>0.1762751527536075</v>
      </c>
      <c r="Q8" s="72">
        <f t="shared" si="8"/>
        <v>0.41985134601857299</v>
      </c>
      <c r="R8" s="72">
        <f t="shared" si="9"/>
        <v>0.94117647058823528</v>
      </c>
      <c r="S8" s="234">
        <f t="shared" si="10"/>
        <v>1.6126020741683198</v>
      </c>
      <c r="T8" s="234">
        <f t="shared" si="11"/>
        <v>0.15614684811392221</v>
      </c>
      <c r="U8" s="234">
        <f t="shared" si="12"/>
        <v>0.39515420801748047</v>
      </c>
    </row>
    <row r="9" spans="1:26" x14ac:dyDescent="0.2">
      <c r="A9" s="106" t="s">
        <v>80</v>
      </c>
      <c r="B9" s="7" t="s">
        <v>229</v>
      </c>
      <c r="C9" s="213" t="s">
        <v>172</v>
      </c>
      <c r="D9" s="105">
        <v>14</v>
      </c>
      <c r="E9" s="105">
        <f t="shared" si="0"/>
        <v>0.5</v>
      </c>
      <c r="F9" s="142">
        <v>17.05</v>
      </c>
      <c r="G9" s="142">
        <v>4.08</v>
      </c>
      <c r="H9" s="143">
        <v>27.68</v>
      </c>
      <c r="I9" s="143">
        <v>4.5599999999999996</v>
      </c>
      <c r="J9" s="72">
        <f t="shared" si="1"/>
        <v>10.629999999999999</v>
      </c>
      <c r="K9" s="72">
        <f t="shared" si="2"/>
        <v>4.3399539168060297</v>
      </c>
      <c r="L9" s="72">
        <f t="shared" si="3"/>
        <v>1.3453714285714287</v>
      </c>
      <c r="M9" s="72">
        <f t="shared" si="4"/>
        <v>1.15990147364827</v>
      </c>
      <c r="N9" s="72">
        <f t="shared" si="5"/>
        <v>4.3399539168060297</v>
      </c>
      <c r="O9" s="72">
        <f t="shared" si="6"/>
        <v>2.4493347634029954</v>
      </c>
      <c r="P9" s="72">
        <f t="shared" si="7"/>
        <v>0.28568717082908601</v>
      </c>
      <c r="Q9" s="72">
        <f t="shared" si="8"/>
        <v>0.53449711957042956</v>
      </c>
      <c r="R9" s="72">
        <f t="shared" si="9"/>
        <v>0.94117647058823528</v>
      </c>
      <c r="S9" s="234">
        <f t="shared" si="10"/>
        <v>2.3052562479087015</v>
      </c>
      <c r="T9" s="234">
        <f t="shared" si="11"/>
        <v>0.25306545236071287</v>
      </c>
      <c r="U9" s="234">
        <f t="shared" si="12"/>
        <v>0.50305611253687488</v>
      </c>
    </row>
    <row r="10" spans="1:26" x14ac:dyDescent="0.2">
      <c r="A10" s="106" t="s">
        <v>80</v>
      </c>
      <c r="B10" s="7" t="s">
        <v>28</v>
      </c>
      <c r="C10" s="213" t="s">
        <v>156</v>
      </c>
      <c r="D10" s="105">
        <v>31</v>
      </c>
      <c r="E10" s="105">
        <f t="shared" si="0"/>
        <v>0.5</v>
      </c>
      <c r="F10" s="142">
        <v>21.28387</v>
      </c>
      <c r="G10" s="142">
        <v>3.557671</v>
      </c>
      <c r="H10" s="143">
        <v>31.592580000000002</v>
      </c>
      <c r="I10" s="143">
        <v>3.6660119999999998</v>
      </c>
      <c r="J10" s="72">
        <f t="shared" si="1"/>
        <v>10.308710000000001</v>
      </c>
      <c r="K10" s="72">
        <f t="shared" si="2"/>
        <v>3.6130599704866508</v>
      </c>
      <c r="L10" s="72">
        <f t="shared" si="3"/>
        <v>0.42110330162364512</v>
      </c>
      <c r="M10" s="72">
        <f t="shared" si="4"/>
        <v>0.6489247272401053</v>
      </c>
      <c r="N10" s="72">
        <f t="shared" si="5"/>
        <v>3.6130599704866508</v>
      </c>
      <c r="O10" s="72">
        <f t="shared" si="6"/>
        <v>2.8531798763947722</v>
      </c>
      <c r="P10" s="72">
        <f t="shared" si="7"/>
        <v>0.16355863559780787</v>
      </c>
      <c r="Q10" s="72">
        <f t="shared" si="8"/>
        <v>0.4044238316392938</v>
      </c>
      <c r="R10" s="72">
        <f t="shared" si="9"/>
        <v>0.97478991596638653</v>
      </c>
      <c r="S10" s="234">
        <f t="shared" si="10"/>
        <v>2.7812509719478453</v>
      </c>
      <c r="T10" s="234">
        <f t="shared" si="11"/>
        <v>0.15541593112097327</v>
      </c>
      <c r="U10" s="234">
        <f t="shared" si="12"/>
        <v>0.39422827285847128</v>
      </c>
    </row>
    <row r="11" spans="1:26" x14ac:dyDescent="0.2">
      <c r="A11" s="106" t="s">
        <v>80</v>
      </c>
      <c r="B11" s="7" t="s">
        <v>28</v>
      </c>
      <c r="C11" s="213" t="s">
        <v>172</v>
      </c>
      <c r="D11" s="105">
        <v>31</v>
      </c>
      <c r="E11" s="105">
        <f t="shared" si="0"/>
        <v>0.5</v>
      </c>
      <c r="F11" s="142">
        <v>21.28387</v>
      </c>
      <c r="G11" s="142">
        <v>3.557671</v>
      </c>
      <c r="H11" s="143">
        <v>27.453230000000001</v>
      </c>
      <c r="I11" s="143">
        <v>4.8880039999999996</v>
      </c>
      <c r="J11" s="72">
        <f t="shared" si="1"/>
        <v>6.1693600000000011</v>
      </c>
      <c r="K11" s="72">
        <f t="shared" si="2"/>
        <v>4.3771789967481327</v>
      </c>
      <c r="L11" s="72">
        <f t="shared" si="3"/>
        <v>0.61805470869590295</v>
      </c>
      <c r="M11" s="72">
        <f t="shared" si="4"/>
        <v>0.78616455573620392</v>
      </c>
      <c r="N11" s="72">
        <f t="shared" si="5"/>
        <v>4.3771789967481327</v>
      </c>
      <c r="O11" s="72">
        <f t="shared" si="6"/>
        <v>1.4094374492300417</v>
      </c>
      <c r="P11" s="72">
        <f t="shared" si="7"/>
        <v>6.4298611666001398E-2</v>
      </c>
      <c r="Q11" s="72">
        <f t="shared" si="8"/>
        <v>0.25357170911992805</v>
      </c>
      <c r="R11" s="72">
        <f t="shared" si="9"/>
        <v>0.97478991596638653</v>
      </c>
      <c r="S11" s="234">
        <f t="shared" si="10"/>
        <v>1.3739054126948305</v>
      </c>
      <c r="T11" s="234">
        <f t="shared" si="11"/>
        <v>6.1097529735026822E-2</v>
      </c>
      <c r="U11" s="234">
        <f t="shared" si="12"/>
        <v>0.24717914502446767</v>
      </c>
    </row>
    <row r="12" spans="1:26" x14ac:dyDescent="0.2">
      <c r="A12" s="106" t="s">
        <v>80</v>
      </c>
      <c r="B12" s="7" t="s">
        <v>32</v>
      </c>
      <c r="C12" s="213" t="s">
        <v>156</v>
      </c>
      <c r="D12" s="105">
        <v>31</v>
      </c>
      <c r="E12" s="105">
        <f t="shared" si="0"/>
        <v>0.5</v>
      </c>
      <c r="F12" s="142">
        <v>21.628064516129029</v>
      </c>
      <c r="G12" s="142">
        <v>1.5008962197186031</v>
      </c>
      <c r="H12" s="143">
        <v>23.759032258064519</v>
      </c>
      <c r="I12" s="143">
        <v>3.14939396798676</v>
      </c>
      <c r="J12" s="72">
        <f t="shared" si="1"/>
        <v>2.1309677419354891</v>
      </c>
      <c r="K12" s="72">
        <f t="shared" si="2"/>
        <v>2.7284534679926433</v>
      </c>
      <c r="L12" s="72">
        <f t="shared" si="3"/>
        <v>0.2401438170000349</v>
      </c>
      <c r="M12" s="72">
        <f t="shared" si="4"/>
        <v>0.49004470918482007</v>
      </c>
      <c r="N12" s="72">
        <f t="shared" si="5"/>
        <v>2.7284534679926433</v>
      </c>
      <c r="O12" s="72">
        <f t="shared" si="6"/>
        <v>0.78101670669255285</v>
      </c>
      <c r="P12" s="72">
        <f t="shared" si="7"/>
        <v>4.2096566066659374E-2</v>
      </c>
      <c r="Q12" s="72">
        <f t="shared" si="8"/>
        <v>0.20517447713265746</v>
      </c>
      <c r="R12" s="72">
        <f t="shared" si="9"/>
        <v>0.97478991596638653</v>
      </c>
      <c r="S12" s="234">
        <f t="shared" si="10"/>
        <v>0.76132720988517755</v>
      </c>
      <c r="T12" s="234">
        <f t="shared" si="11"/>
        <v>4.0000804533081601E-2</v>
      </c>
      <c r="U12" s="234">
        <f t="shared" si="12"/>
        <v>0.20000201132259046</v>
      </c>
    </row>
    <row r="13" spans="1:26" x14ac:dyDescent="0.2">
      <c r="A13" s="106" t="s">
        <v>80</v>
      </c>
      <c r="B13" s="7" t="s">
        <v>32</v>
      </c>
      <c r="C13" s="213" t="s">
        <v>172</v>
      </c>
      <c r="D13" s="105">
        <v>31</v>
      </c>
      <c r="E13" s="105">
        <f t="shared" si="0"/>
        <v>0.5</v>
      </c>
      <c r="F13" s="142">
        <v>21.628064516129029</v>
      </c>
      <c r="G13" s="142">
        <v>1.5008962197186031</v>
      </c>
      <c r="H13" s="143">
        <v>25.185806451612901</v>
      </c>
      <c r="I13" s="143">
        <v>2.0468036450256588</v>
      </c>
      <c r="J13" s="72">
        <f t="shared" si="1"/>
        <v>3.5577419354838717</v>
      </c>
      <c r="K13" s="72">
        <f t="shared" si="2"/>
        <v>1.8357708926580809</v>
      </c>
      <c r="L13" s="72">
        <f t="shared" si="3"/>
        <v>0.10871144420421443</v>
      </c>
      <c r="M13" s="72">
        <f t="shared" si="4"/>
        <v>0.32971418562781679</v>
      </c>
      <c r="N13" s="72">
        <f t="shared" si="5"/>
        <v>1.8357708926580809</v>
      </c>
      <c r="O13" s="72">
        <f t="shared" si="6"/>
        <v>1.9380097754641294</v>
      </c>
      <c r="P13" s="72">
        <f t="shared" si="7"/>
        <v>9.2836804674105253E-2</v>
      </c>
      <c r="Q13" s="72">
        <f t="shared" si="8"/>
        <v>0.30469132687706302</v>
      </c>
      <c r="R13" s="72">
        <f t="shared" si="9"/>
        <v>0.97478991596638653</v>
      </c>
      <c r="S13" s="234">
        <f t="shared" si="10"/>
        <v>1.8891523861667143</v>
      </c>
      <c r="T13" s="234">
        <f t="shared" si="11"/>
        <v>8.8214959656433889E-2</v>
      </c>
      <c r="U13" s="234">
        <f t="shared" si="12"/>
        <v>0.29701003292217903</v>
      </c>
    </row>
    <row r="14" spans="1:26" x14ac:dyDescent="0.2">
      <c r="A14" s="106" t="s">
        <v>80</v>
      </c>
      <c r="B14" s="7" t="s">
        <v>35</v>
      </c>
      <c r="C14" s="213" t="s">
        <v>156</v>
      </c>
      <c r="D14" s="105">
        <v>16</v>
      </c>
      <c r="E14" s="105">
        <f t="shared" si="0"/>
        <v>0.5</v>
      </c>
      <c r="F14" s="142">
        <v>18.961874999999999</v>
      </c>
      <c r="G14" s="142">
        <v>3.6705680191672432</v>
      </c>
      <c r="H14" s="143">
        <v>25.274374999999999</v>
      </c>
      <c r="I14" s="143">
        <v>5.7108025924558099</v>
      </c>
      <c r="J14" s="72">
        <f t="shared" si="1"/>
        <v>6.3125</v>
      </c>
      <c r="K14" s="72">
        <f t="shared" si="2"/>
        <v>5.0124291988703105</v>
      </c>
      <c r="L14" s="72">
        <f t="shared" si="3"/>
        <v>1.5702779046054789</v>
      </c>
      <c r="M14" s="72">
        <f t="shared" si="4"/>
        <v>1.2531072997175776</v>
      </c>
      <c r="N14" s="72">
        <f t="shared" si="5"/>
        <v>5.0124291988703105</v>
      </c>
      <c r="O14" s="72">
        <f t="shared" si="6"/>
        <v>1.2593694094317973</v>
      </c>
      <c r="P14" s="72">
        <f t="shared" si="7"/>
        <v>0.11206285341914357</v>
      </c>
      <c r="Q14" s="72">
        <f t="shared" si="8"/>
        <v>0.33475790269856748</v>
      </c>
      <c r="R14" s="72">
        <f t="shared" si="9"/>
        <v>0.94915254237288138</v>
      </c>
      <c r="S14" s="234">
        <f t="shared" si="10"/>
        <v>1.1953336767488245</v>
      </c>
      <c r="T14" s="234">
        <f t="shared" si="11"/>
        <v>0.10095636550486477</v>
      </c>
      <c r="U14" s="234">
        <f t="shared" si="12"/>
        <v>0.31773631442575895</v>
      </c>
    </row>
    <row r="15" spans="1:26" x14ac:dyDescent="0.2">
      <c r="A15" s="106" t="s">
        <v>80</v>
      </c>
      <c r="B15" s="7" t="s">
        <v>35</v>
      </c>
      <c r="C15" s="213" t="s">
        <v>172</v>
      </c>
      <c r="D15" s="105">
        <v>16</v>
      </c>
      <c r="E15" s="105">
        <f t="shared" si="0"/>
        <v>0.5</v>
      </c>
      <c r="F15" s="142">
        <v>18.961874999999999</v>
      </c>
      <c r="G15" s="142">
        <v>3.6705680191672432</v>
      </c>
      <c r="H15" s="143">
        <v>28.064374999999998</v>
      </c>
      <c r="I15" s="143">
        <v>7.645492762623828</v>
      </c>
      <c r="J15" s="72">
        <f t="shared" si="1"/>
        <v>9.1024999999999991</v>
      </c>
      <c r="K15" s="72">
        <f t="shared" si="2"/>
        <v>6.6229395242146847</v>
      </c>
      <c r="L15" s="72">
        <f t="shared" si="3"/>
        <v>2.7414579963378145</v>
      </c>
      <c r="M15" s="72">
        <f t="shared" si="4"/>
        <v>1.6557348810536712</v>
      </c>
      <c r="N15" s="72">
        <f t="shared" si="5"/>
        <v>6.6229395242146847</v>
      </c>
      <c r="O15" s="72">
        <f t="shared" si="6"/>
        <v>1.3743897202623676</v>
      </c>
      <c r="P15" s="72">
        <f t="shared" si="7"/>
        <v>0.12152959697383967</v>
      </c>
      <c r="Q15" s="72">
        <f t="shared" si="8"/>
        <v>0.34861095360564859</v>
      </c>
      <c r="R15" s="72">
        <f t="shared" si="9"/>
        <v>0.94915254237288138</v>
      </c>
      <c r="S15" s="234">
        <f t="shared" si="10"/>
        <v>1.3045054971981795</v>
      </c>
      <c r="T15" s="234">
        <f t="shared" si="11"/>
        <v>0.10948486530018996</v>
      </c>
      <c r="U15" s="234">
        <f t="shared" si="12"/>
        <v>0.33088497291383595</v>
      </c>
    </row>
    <row r="16" spans="1:26" x14ac:dyDescent="0.2">
      <c r="A16" s="106" t="s">
        <v>80</v>
      </c>
      <c r="B16" s="7" t="s">
        <v>38</v>
      </c>
      <c r="C16" s="213" t="s">
        <v>156</v>
      </c>
      <c r="D16" s="105">
        <v>16</v>
      </c>
      <c r="E16" s="105">
        <f t="shared" si="0"/>
        <v>0.5</v>
      </c>
      <c r="F16" s="142">
        <v>17.943750000000001</v>
      </c>
      <c r="G16" s="142">
        <v>4.842393175555519</v>
      </c>
      <c r="H16" s="143">
        <v>23.188124999999999</v>
      </c>
      <c r="I16" s="143">
        <v>3.9976746886992518</v>
      </c>
      <c r="J16" s="72">
        <f t="shared" si="1"/>
        <v>5.244374999999998</v>
      </c>
      <c r="K16" s="72">
        <f t="shared" si="2"/>
        <v>4.4801631613910038</v>
      </c>
      <c r="L16" s="72">
        <f t="shared" si="3"/>
        <v>1.2544913720428146</v>
      </c>
      <c r="M16" s="72">
        <f t="shared" si="4"/>
        <v>1.1200407903477509</v>
      </c>
      <c r="N16" s="72">
        <f t="shared" si="5"/>
        <v>4.4801631613910038</v>
      </c>
      <c r="O16" s="72">
        <f t="shared" si="6"/>
        <v>1.1705767872908721</v>
      </c>
      <c r="P16" s="72">
        <f t="shared" si="7"/>
        <v>0.10532031296700686</v>
      </c>
      <c r="Q16" s="72">
        <f t="shared" si="8"/>
        <v>0.32453091219020547</v>
      </c>
      <c r="R16" s="72">
        <f t="shared" si="9"/>
        <v>0.94915254237288138</v>
      </c>
      <c r="S16" s="234">
        <f t="shared" si="10"/>
        <v>1.1110559336998109</v>
      </c>
      <c r="T16" s="234">
        <f t="shared" si="11"/>
        <v>9.4882074537355227E-2</v>
      </c>
      <c r="U16" s="234">
        <f t="shared" si="12"/>
        <v>0.30802934038392388</v>
      </c>
    </row>
    <row r="17" spans="1:21" x14ac:dyDescent="0.2">
      <c r="A17" s="106" t="s">
        <v>80</v>
      </c>
      <c r="B17" s="7" t="s">
        <v>38</v>
      </c>
      <c r="C17" s="213" t="s">
        <v>172</v>
      </c>
      <c r="D17" s="105">
        <v>16</v>
      </c>
      <c r="E17" s="105">
        <f t="shared" si="0"/>
        <v>0.5</v>
      </c>
      <c r="F17" s="142">
        <v>17.943750000000001</v>
      </c>
      <c r="G17" s="142">
        <v>4.842393175555519</v>
      </c>
      <c r="H17" s="143">
        <v>23.920625000000001</v>
      </c>
      <c r="I17" s="143">
        <v>2.5611494001717281</v>
      </c>
      <c r="J17" s="72">
        <f t="shared" si="1"/>
        <v>5.9768749999999997</v>
      </c>
      <c r="K17" s="72">
        <f t="shared" si="2"/>
        <v>4.1959701547671875</v>
      </c>
      <c r="L17" s="72">
        <f t="shared" si="3"/>
        <v>1.1003853462310609</v>
      </c>
      <c r="M17" s="72">
        <f t="shared" si="4"/>
        <v>1.0489925386917969</v>
      </c>
      <c r="N17" s="72">
        <f t="shared" si="5"/>
        <v>4.1959701547671875</v>
      </c>
      <c r="O17" s="72">
        <f t="shared" si="6"/>
        <v>1.4244322003123555</v>
      </c>
      <c r="P17" s="72">
        <f t="shared" si="7"/>
        <v>0.12590647166520932</v>
      </c>
      <c r="Q17" s="72">
        <f t="shared" si="8"/>
        <v>0.35483301941224316</v>
      </c>
      <c r="R17" s="72">
        <f t="shared" si="9"/>
        <v>0.94915254237288138</v>
      </c>
      <c r="S17" s="234">
        <f t="shared" si="10"/>
        <v>1.3520034443642697</v>
      </c>
      <c r="T17" s="234">
        <f t="shared" si="11"/>
        <v>0.11342795034245805</v>
      </c>
      <c r="U17" s="234">
        <f t="shared" si="12"/>
        <v>0.33679066249297657</v>
      </c>
    </row>
    <row r="18" spans="1:21" x14ac:dyDescent="0.2">
      <c r="A18" s="106" t="s">
        <v>80</v>
      </c>
      <c r="B18" s="7" t="s">
        <v>40</v>
      </c>
      <c r="C18" s="213" t="s">
        <v>156</v>
      </c>
      <c r="D18" s="105">
        <v>16</v>
      </c>
      <c r="E18" s="105">
        <f t="shared" si="0"/>
        <v>0.5</v>
      </c>
      <c r="F18" s="142">
        <v>18.962499999999999</v>
      </c>
      <c r="G18" s="142">
        <v>5.2389750906069414</v>
      </c>
      <c r="H18" s="143">
        <v>25.998125000000002</v>
      </c>
      <c r="I18" s="143">
        <v>5.4787276123202187</v>
      </c>
      <c r="J18" s="72">
        <f t="shared" si="1"/>
        <v>7.0356250000000031</v>
      </c>
      <c r="K18" s="72">
        <f t="shared" si="2"/>
        <v>5.3628722491621925</v>
      </c>
      <c r="L18" s="72">
        <f t="shared" si="3"/>
        <v>1.7975249225521222</v>
      </c>
      <c r="M18" s="72">
        <f t="shared" si="4"/>
        <v>1.3407180622905481</v>
      </c>
      <c r="N18" s="72">
        <f t="shared" si="5"/>
        <v>5.3628722491621925</v>
      </c>
      <c r="O18" s="72">
        <f t="shared" si="6"/>
        <v>1.3119135927765451</v>
      </c>
      <c r="P18" s="72">
        <f t="shared" si="7"/>
        <v>0.11628491484099571</v>
      </c>
      <c r="Q18" s="72">
        <f t="shared" si="8"/>
        <v>0.34100574018775065</v>
      </c>
      <c r="R18" s="72">
        <f t="shared" si="9"/>
        <v>0.94915254237288138</v>
      </c>
      <c r="S18" s="234">
        <f t="shared" si="10"/>
        <v>1.2452061219573987</v>
      </c>
      <c r="T18" s="234">
        <f t="shared" si="11"/>
        <v>0.10475998073581229</v>
      </c>
      <c r="U18" s="234">
        <f t="shared" si="12"/>
        <v>0.32366646526294979</v>
      </c>
    </row>
    <row r="19" spans="1:21" x14ac:dyDescent="0.2">
      <c r="A19" s="106" t="s">
        <v>80</v>
      </c>
      <c r="B19" s="7" t="s">
        <v>40</v>
      </c>
      <c r="C19" s="213" t="s">
        <v>172</v>
      </c>
      <c r="D19" s="105">
        <v>16</v>
      </c>
      <c r="E19" s="105">
        <f t="shared" si="0"/>
        <v>0.5</v>
      </c>
      <c r="F19" s="142">
        <v>18.962499999999999</v>
      </c>
      <c r="G19" s="142">
        <v>5.2389750906069414</v>
      </c>
      <c r="H19" s="143">
        <v>27.894375</v>
      </c>
      <c r="I19" s="143">
        <v>6.5285158790749156</v>
      </c>
      <c r="J19" s="72">
        <f t="shared" si="1"/>
        <v>8.9318750000000016</v>
      </c>
      <c r="K19" s="72">
        <f t="shared" si="2"/>
        <v>5.9887934940376732</v>
      </c>
      <c r="L19" s="72">
        <f t="shared" si="3"/>
        <v>2.2416029696392479</v>
      </c>
      <c r="M19" s="72">
        <f t="shared" si="4"/>
        <v>1.4971983735094183</v>
      </c>
      <c r="N19" s="72">
        <f t="shared" si="5"/>
        <v>5.9887934940376732</v>
      </c>
      <c r="O19" s="72">
        <f t="shared" si="6"/>
        <v>1.49143145591719</v>
      </c>
      <c r="P19" s="72">
        <f t="shared" si="7"/>
        <v>0.13201149336560214</v>
      </c>
      <c r="Q19" s="72">
        <f t="shared" si="8"/>
        <v>0.36333385937124296</v>
      </c>
      <c r="R19" s="72">
        <f t="shared" si="9"/>
        <v>0.94915254237288138</v>
      </c>
      <c r="S19" s="234">
        <f t="shared" si="10"/>
        <v>1.4155959581586888</v>
      </c>
      <c r="T19" s="234">
        <f t="shared" si="11"/>
        <v>0.11892790669190702</v>
      </c>
      <c r="U19" s="234">
        <f t="shared" si="12"/>
        <v>0.34485925635236619</v>
      </c>
    </row>
    <row r="20" spans="1:21" x14ac:dyDescent="0.2">
      <c r="A20" s="106" t="s">
        <v>80</v>
      </c>
      <c r="B20" s="7" t="s">
        <v>193</v>
      </c>
      <c r="C20" s="213" t="s">
        <v>156</v>
      </c>
      <c r="D20" s="105">
        <v>16</v>
      </c>
      <c r="E20" s="105">
        <f t="shared" si="0"/>
        <v>0.5</v>
      </c>
      <c r="F20" s="142">
        <v>18.281874999999999</v>
      </c>
      <c r="G20" s="142">
        <v>4.1161700948818911</v>
      </c>
      <c r="H20" s="143">
        <v>23.443124999999998</v>
      </c>
      <c r="I20" s="143">
        <v>4.9568050445826488</v>
      </c>
      <c r="J20" s="72">
        <f t="shared" si="1"/>
        <v>5.161249999999999</v>
      </c>
      <c r="K20" s="72">
        <f t="shared" si="2"/>
        <v>4.5945315114088832</v>
      </c>
      <c r="L20" s="72">
        <f t="shared" si="3"/>
        <v>1.3193574880830747</v>
      </c>
      <c r="M20" s="72">
        <f t="shared" si="4"/>
        <v>1.1486328778522208</v>
      </c>
      <c r="N20" s="72">
        <f t="shared" si="5"/>
        <v>4.5945315114088832</v>
      </c>
      <c r="O20" s="72">
        <f t="shared" si="6"/>
        <v>1.1233463057514945</v>
      </c>
      <c r="P20" s="72">
        <f t="shared" si="7"/>
        <v>0.10193459133267282</v>
      </c>
      <c r="Q20" s="72">
        <f t="shared" si="8"/>
        <v>0.31927197079084912</v>
      </c>
      <c r="R20" s="72">
        <f t="shared" si="9"/>
        <v>0.94915254237288138</v>
      </c>
      <c r="S20" s="234">
        <f t="shared" si="10"/>
        <v>1.0662270020692151</v>
      </c>
      <c r="T20" s="234">
        <f t="shared" si="11"/>
        <v>9.1831909916478605E-2</v>
      </c>
      <c r="U20" s="234">
        <f t="shared" si="12"/>
        <v>0.30303780278453479</v>
      </c>
    </row>
    <row r="21" spans="1:21" x14ac:dyDescent="0.2">
      <c r="A21" s="106" t="s">
        <v>80</v>
      </c>
      <c r="B21" s="7" t="s">
        <v>193</v>
      </c>
      <c r="C21" s="213" t="s">
        <v>172</v>
      </c>
      <c r="D21" s="105">
        <v>16</v>
      </c>
      <c r="E21" s="105">
        <f t="shared" si="0"/>
        <v>0.5</v>
      </c>
      <c r="F21" s="142">
        <v>18.281874999999999</v>
      </c>
      <c r="G21" s="142">
        <v>4.1161700948818911</v>
      </c>
      <c r="H21" s="143">
        <v>24.62875</v>
      </c>
      <c r="I21" s="143">
        <v>2.73435641422255</v>
      </c>
      <c r="J21" s="72">
        <f t="shared" si="1"/>
        <v>6.3468750000000007</v>
      </c>
      <c r="K21" s="72">
        <f t="shared" si="2"/>
        <v>3.628289562456207</v>
      </c>
      <c r="L21" s="72">
        <f t="shared" si="3"/>
        <v>0.82278032181429095</v>
      </c>
      <c r="M21" s="72">
        <f t="shared" si="4"/>
        <v>0.90707239061405176</v>
      </c>
      <c r="N21" s="72">
        <f t="shared" si="5"/>
        <v>3.628289562456207</v>
      </c>
      <c r="O21" s="72">
        <f t="shared" si="6"/>
        <v>1.7492746625502018</v>
      </c>
      <c r="P21" s="72">
        <f t="shared" si="7"/>
        <v>0.15812380765750383</v>
      </c>
      <c r="Q21" s="72">
        <f t="shared" si="8"/>
        <v>0.39764784377323592</v>
      </c>
      <c r="R21" s="72">
        <f t="shared" si="9"/>
        <v>0.94915254237288138</v>
      </c>
      <c r="S21" s="234">
        <f t="shared" si="10"/>
        <v>1.6603284932679883</v>
      </c>
      <c r="T21" s="234">
        <f t="shared" si="11"/>
        <v>0.14245224384197991</v>
      </c>
      <c r="U21" s="234">
        <f t="shared" si="12"/>
        <v>0.37742846188646123</v>
      </c>
    </row>
    <row r="22" spans="1:21" x14ac:dyDescent="0.2">
      <c r="A22" s="106" t="s">
        <v>80</v>
      </c>
      <c r="B22" s="3" t="s">
        <v>196</v>
      </c>
      <c r="C22" s="213" t="s">
        <v>156</v>
      </c>
      <c r="D22" s="105">
        <v>16</v>
      </c>
      <c r="E22" s="105">
        <f t="shared" si="0"/>
        <v>0.5</v>
      </c>
      <c r="F22" s="142">
        <v>15.225625000000001</v>
      </c>
      <c r="G22" s="142">
        <v>2.3684311790719188</v>
      </c>
      <c r="H22" s="143">
        <v>23.736875000000001</v>
      </c>
      <c r="I22" s="143">
        <v>2.5455548674765049</v>
      </c>
      <c r="J22" s="72">
        <f t="shared" si="1"/>
        <v>8.5112500000000004</v>
      </c>
      <c r="K22" s="72">
        <f t="shared" si="2"/>
        <v>2.4617766586682239</v>
      </c>
      <c r="L22" s="72">
        <f t="shared" si="3"/>
        <v>0.37877151982273033</v>
      </c>
      <c r="M22" s="72">
        <f t="shared" si="4"/>
        <v>0.61544416466705598</v>
      </c>
      <c r="N22" s="72">
        <f t="shared" si="5"/>
        <v>2.4617766586682239</v>
      </c>
      <c r="O22" s="72">
        <f t="shared" si="6"/>
        <v>3.4573607520531251</v>
      </c>
      <c r="P22" s="72">
        <f t="shared" si="7"/>
        <v>0.4360419803074172</v>
      </c>
      <c r="Q22" s="72">
        <f t="shared" si="8"/>
        <v>0.66033474867480446</v>
      </c>
      <c r="R22" s="72">
        <f t="shared" si="9"/>
        <v>0.94915254237288138</v>
      </c>
      <c r="S22" s="234">
        <f t="shared" si="10"/>
        <v>3.2815627477114409</v>
      </c>
      <c r="T22" s="234">
        <f t="shared" si="11"/>
        <v>0.3928260988922897</v>
      </c>
      <c r="U22" s="234">
        <f t="shared" si="12"/>
        <v>0.62675840552184836</v>
      </c>
    </row>
    <row r="23" spans="1:21" x14ac:dyDescent="0.2">
      <c r="A23" s="106" t="s">
        <v>80</v>
      </c>
      <c r="B23" s="3" t="s">
        <v>196</v>
      </c>
      <c r="C23" s="213" t="s">
        <v>172</v>
      </c>
      <c r="D23" s="105">
        <v>16</v>
      </c>
      <c r="E23" s="105">
        <f t="shared" si="0"/>
        <v>0.5</v>
      </c>
      <c r="F23" s="142">
        <v>15.225625000000001</v>
      </c>
      <c r="G23" s="142">
        <v>2.3684311790719188</v>
      </c>
      <c r="H23" s="143">
        <v>24.7</v>
      </c>
      <c r="I23" s="143">
        <v>2.1596079891190119</v>
      </c>
      <c r="J23" s="72">
        <f t="shared" si="1"/>
        <v>9.4743749999999984</v>
      </c>
      <c r="K23" s="72">
        <f t="shared" si="2"/>
        <v>2.2712309483327289</v>
      </c>
      <c r="L23" s="72">
        <f t="shared" si="3"/>
        <v>0.32240562629152419</v>
      </c>
      <c r="M23" s="72">
        <f t="shared" si="4"/>
        <v>0.56780773708318222</v>
      </c>
      <c r="N23" s="72">
        <f t="shared" si="5"/>
        <v>2.2712309483327289</v>
      </c>
      <c r="O23" s="72">
        <f t="shared" si="6"/>
        <v>4.1714714247597637</v>
      </c>
      <c r="P23" s="72">
        <f t="shared" si="7"/>
        <v>0.60628668273710162</v>
      </c>
      <c r="Q23" s="72">
        <f t="shared" si="8"/>
        <v>0.77864413099766028</v>
      </c>
      <c r="R23" s="72">
        <f t="shared" si="9"/>
        <v>0.94915254237288138</v>
      </c>
      <c r="S23" s="234">
        <f t="shared" si="10"/>
        <v>3.9593627082465557</v>
      </c>
      <c r="T23" s="234">
        <f t="shared" si="11"/>
        <v>0.54619794227622831</v>
      </c>
      <c r="U23" s="234">
        <f t="shared" si="12"/>
        <v>0.73905205654015216</v>
      </c>
    </row>
    <row r="24" spans="1:21" x14ac:dyDescent="0.2">
      <c r="A24" s="106" t="s">
        <v>80</v>
      </c>
      <c r="B24" s="7" t="s">
        <v>26</v>
      </c>
      <c r="C24" s="213" t="s">
        <v>156</v>
      </c>
      <c r="D24" s="105">
        <v>3</v>
      </c>
      <c r="E24" s="105">
        <f t="shared" si="0"/>
        <v>0.5</v>
      </c>
      <c r="F24" s="142">
        <v>2.4175</v>
      </c>
      <c r="G24" s="142">
        <v>0.30479957891828641</v>
      </c>
      <c r="H24" s="143">
        <v>1.8774999999999999</v>
      </c>
      <c r="I24" s="143">
        <v>7.4762160866749403E-2</v>
      </c>
      <c r="J24" s="72">
        <f t="shared" si="1"/>
        <v>-0.54</v>
      </c>
      <c r="K24" s="72">
        <f t="shared" si="2"/>
        <v>0.27514485067873612</v>
      </c>
      <c r="L24" s="72">
        <f t="shared" si="3"/>
        <v>2.5234896285008E-2</v>
      </c>
      <c r="M24" s="72">
        <f t="shared" si="4"/>
        <v>0.15885495360550769</v>
      </c>
      <c r="N24" s="72">
        <f t="shared" si="5"/>
        <v>0.27514485067873612</v>
      </c>
      <c r="O24" s="72">
        <f t="shared" si="6"/>
        <v>-1.9626026024761531</v>
      </c>
      <c r="P24" s="72">
        <f t="shared" si="7"/>
        <v>0.97530149587436155</v>
      </c>
      <c r="Q24" s="72">
        <f t="shared" si="8"/>
        <v>0.98757353947661108</v>
      </c>
      <c r="R24" s="72">
        <f t="shared" si="9"/>
        <v>0.5714285714285714</v>
      </c>
      <c r="S24" s="234">
        <f t="shared" si="10"/>
        <v>-1.1214872014149446</v>
      </c>
      <c r="T24" s="234">
        <f t="shared" si="11"/>
        <v>0.3184657945712201</v>
      </c>
      <c r="U24" s="234">
        <f t="shared" si="12"/>
        <v>0.56432773684377779</v>
      </c>
    </row>
    <row r="25" spans="1:21" x14ac:dyDescent="0.2">
      <c r="A25" s="106" t="s">
        <v>80</v>
      </c>
      <c r="B25" s="7" t="s">
        <v>26</v>
      </c>
      <c r="C25" s="213" t="s">
        <v>172</v>
      </c>
      <c r="D25" s="105">
        <v>3</v>
      </c>
      <c r="E25" s="105">
        <f t="shared" si="0"/>
        <v>0.5</v>
      </c>
      <c r="F25" s="142">
        <v>2.4175</v>
      </c>
      <c r="G25" s="142">
        <v>0.30479957891828641</v>
      </c>
      <c r="H25" s="143">
        <v>5.8175000000000008</v>
      </c>
      <c r="I25" s="143">
        <v>9.7765902671903104E-2</v>
      </c>
      <c r="J25" s="72">
        <f t="shared" si="1"/>
        <v>3.4000000000000008</v>
      </c>
      <c r="K25" s="72">
        <f t="shared" si="2"/>
        <v>0.2695588044695526</v>
      </c>
      <c r="L25" s="72">
        <f t="shared" si="3"/>
        <v>2.4220649689018162E-2</v>
      </c>
      <c r="M25" s="72">
        <f t="shared" si="4"/>
        <v>0.15562984832292989</v>
      </c>
      <c r="N25" s="72">
        <f t="shared" si="5"/>
        <v>0.2695588044695526</v>
      </c>
      <c r="O25" s="72">
        <f t="shared" si="6"/>
        <v>12.613203292285858</v>
      </c>
      <c r="P25" s="72">
        <f t="shared" si="7"/>
        <v>26.848816215421799</v>
      </c>
      <c r="Q25" s="72">
        <f t="shared" si="8"/>
        <v>5.1815843344889982</v>
      </c>
      <c r="R25" s="72">
        <f t="shared" si="9"/>
        <v>0.5714285714285714</v>
      </c>
      <c r="S25" s="234">
        <f t="shared" si="10"/>
        <v>7.2075447384490614</v>
      </c>
      <c r="T25" s="234">
        <f t="shared" si="11"/>
        <v>8.7669603968724239</v>
      </c>
      <c r="U25" s="234">
        <f t="shared" si="12"/>
        <v>2.9609053339937135</v>
      </c>
    </row>
    <row r="26" spans="1:21" x14ac:dyDescent="0.2">
      <c r="A26" s="106" t="s">
        <v>80</v>
      </c>
      <c r="B26" s="7" t="s">
        <v>197</v>
      </c>
      <c r="C26" s="213" t="s">
        <v>156</v>
      </c>
      <c r="D26" s="105">
        <v>7</v>
      </c>
      <c r="E26" s="105">
        <f t="shared" si="0"/>
        <v>0.5</v>
      </c>
      <c r="F26" s="142">
        <v>0.12</v>
      </c>
      <c r="G26" s="142">
        <v>5.2915026221291822E-2</v>
      </c>
      <c r="H26" s="143">
        <v>0.15</v>
      </c>
      <c r="I26" s="143">
        <v>7.9372539331937719E-2</v>
      </c>
      <c r="J26" s="72">
        <f t="shared" si="1"/>
        <v>0.03</v>
      </c>
      <c r="K26" s="72">
        <f t="shared" si="2"/>
        <v>6.9999999999999993E-2</v>
      </c>
      <c r="L26" s="72">
        <f t="shared" si="3"/>
        <v>6.9999999999999988E-4</v>
      </c>
      <c r="M26" s="72">
        <f t="shared" si="4"/>
        <v>2.6457513110645904E-2</v>
      </c>
      <c r="N26" s="72">
        <f t="shared" si="5"/>
        <v>6.9999999999999993E-2</v>
      </c>
      <c r="O26" s="72">
        <f t="shared" si="6"/>
        <v>0.4285714285714286</v>
      </c>
      <c r="P26" s="72">
        <f t="shared" si="7"/>
        <v>0.15597667638483964</v>
      </c>
      <c r="Q26" s="72">
        <f t="shared" si="8"/>
        <v>0.39493882612986997</v>
      </c>
      <c r="R26" s="72">
        <f t="shared" si="9"/>
        <v>0.86956521739130432</v>
      </c>
      <c r="S26" s="234">
        <f t="shared" si="10"/>
        <v>0.37267080745341619</v>
      </c>
      <c r="T26" s="234">
        <f t="shared" si="11"/>
        <v>0.11794077609439671</v>
      </c>
      <c r="U26" s="234">
        <f t="shared" si="12"/>
        <v>0.34342506619988694</v>
      </c>
    </row>
    <row r="27" spans="1:21" x14ac:dyDescent="0.2">
      <c r="A27" s="106" t="s">
        <v>80</v>
      </c>
      <c r="B27" s="7" t="s">
        <v>197</v>
      </c>
      <c r="C27" s="213" t="s">
        <v>171</v>
      </c>
      <c r="D27" s="105">
        <v>7</v>
      </c>
      <c r="E27" s="105">
        <f t="shared" si="0"/>
        <v>0.5</v>
      </c>
      <c r="F27" s="142">
        <v>0.12</v>
      </c>
      <c r="G27" s="142">
        <v>5.2915026221291822E-2</v>
      </c>
      <c r="H27" s="143">
        <v>0.08</v>
      </c>
      <c r="I27" s="143">
        <v>5.2915026221291822E-2</v>
      </c>
      <c r="J27" s="72">
        <f t="shared" si="1"/>
        <v>-3.9999999999999994E-2</v>
      </c>
      <c r="K27" s="72">
        <f t="shared" si="2"/>
        <v>5.2915026221291822E-2</v>
      </c>
      <c r="L27" s="72">
        <f t="shared" si="3"/>
        <v>4.0000000000000018E-4</v>
      </c>
      <c r="M27" s="72">
        <f t="shared" si="4"/>
        <v>2.0000000000000004E-2</v>
      </c>
      <c r="N27" s="72">
        <f t="shared" si="5"/>
        <v>5.2915026221291822E-2</v>
      </c>
      <c r="O27" s="72">
        <f t="shared" si="6"/>
        <v>-0.75592894601845417</v>
      </c>
      <c r="P27" s="72">
        <f t="shared" si="7"/>
        <v>0.18367346938775506</v>
      </c>
      <c r="Q27" s="72">
        <f t="shared" si="8"/>
        <v>0.42857142857142849</v>
      </c>
      <c r="R27" s="72">
        <f t="shared" si="9"/>
        <v>0.86956521739130432</v>
      </c>
      <c r="S27" s="234">
        <f t="shared" si="10"/>
        <v>-0.65732951827691666</v>
      </c>
      <c r="T27" s="234">
        <f t="shared" si="11"/>
        <v>0.13888353072798115</v>
      </c>
      <c r="U27" s="234">
        <f t="shared" si="12"/>
        <v>0.37267080745341613</v>
      </c>
    </row>
    <row r="28" spans="1:21" x14ac:dyDescent="0.2">
      <c r="A28" s="106" t="s">
        <v>80</v>
      </c>
      <c r="B28" s="7" t="s">
        <v>198</v>
      </c>
      <c r="C28" s="213" t="s">
        <v>156</v>
      </c>
      <c r="D28" s="105">
        <v>7</v>
      </c>
      <c r="E28" s="105">
        <f t="shared" si="0"/>
        <v>0.5</v>
      </c>
      <c r="F28" s="142">
        <v>0.12</v>
      </c>
      <c r="G28" s="142">
        <v>7.9372539331937719E-2</v>
      </c>
      <c r="H28" s="143">
        <v>0.13</v>
      </c>
      <c r="I28" s="143">
        <v>0.1058300524425836</v>
      </c>
      <c r="J28" s="72">
        <f t="shared" si="1"/>
        <v>1.0000000000000009E-2</v>
      </c>
      <c r="K28" s="72">
        <f t="shared" si="2"/>
        <v>9.5393920141694552E-2</v>
      </c>
      <c r="L28" s="72">
        <f t="shared" si="3"/>
        <v>1.2999999999999995E-3</v>
      </c>
      <c r="M28" s="72">
        <f t="shared" si="4"/>
        <v>3.6055512754639883E-2</v>
      </c>
      <c r="N28" s="72">
        <f t="shared" si="5"/>
        <v>9.5393920141694552E-2</v>
      </c>
      <c r="O28" s="72">
        <f t="shared" si="6"/>
        <v>0.10482848367219194</v>
      </c>
      <c r="P28" s="72">
        <f t="shared" si="7"/>
        <v>0.14364207221350078</v>
      </c>
      <c r="Q28" s="72">
        <f t="shared" si="8"/>
        <v>0.37900141452704472</v>
      </c>
      <c r="R28" s="72">
        <f t="shared" si="9"/>
        <v>0.86956521739130432</v>
      </c>
      <c r="S28" s="234">
        <f t="shared" si="10"/>
        <v>9.1155203193210382E-2</v>
      </c>
      <c r="T28" s="234">
        <f t="shared" si="11"/>
        <v>0.1086140432616263</v>
      </c>
      <c r="U28" s="234">
        <f t="shared" si="12"/>
        <v>0.3295664474148215</v>
      </c>
    </row>
    <row r="29" spans="1:21" x14ac:dyDescent="0.2">
      <c r="A29" s="106" t="s">
        <v>80</v>
      </c>
      <c r="B29" s="7" t="s">
        <v>198</v>
      </c>
      <c r="C29" s="213" t="s">
        <v>171</v>
      </c>
      <c r="D29" s="105">
        <v>7</v>
      </c>
      <c r="E29" s="105">
        <f t="shared" si="0"/>
        <v>0.5</v>
      </c>
      <c r="F29" s="142">
        <v>0.12</v>
      </c>
      <c r="G29" s="142">
        <v>7.9372539331937719E-2</v>
      </c>
      <c r="H29" s="143">
        <v>0.12</v>
      </c>
      <c r="I29" s="143">
        <v>7.9372539331937719E-2</v>
      </c>
      <c r="J29" s="72">
        <f t="shared" si="1"/>
        <v>0</v>
      </c>
      <c r="K29" s="72">
        <f t="shared" si="2"/>
        <v>7.9372539331937719E-2</v>
      </c>
      <c r="L29" s="72">
        <f t="shared" si="3"/>
        <v>8.9999999999999998E-4</v>
      </c>
      <c r="M29" s="72">
        <f t="shared" si="4"/>
        <v>0.03</v>
      </c>
      <c r="N29" s="72">
        <f t="shared" si="5"/>
        <v>7.9372539331937719E-2</v>
      </c>
      <c r="O29" s="72">
        <f t="shared" si="6"/>
        <v>0</v>
      </c>
      <c r="P29" s="72">
        <f t="shared" si="7"/>
        <v>0.14285714285714285</v>
      </c>
      <c r="Q29" s="72">
        <f t="shared" si="8"/>
        <v>0.3779644730092272</v>
      </c>
      <c r="R29" s="72">
        <f t="shared" si="9"/>
        <v>0.86956521739130432</v>
      </c>
      <c r="S29" s="234">
        <f t="shared" si="10"/>
        <v>0</v>
      </c>
      <c r="T29" s="234">
        <f t="shared" si="11"/>
        <v>0.10802052389954091</v>
      </c>
      <c r="U29" s="234">
        <f t="shared" si="12"/>
        <v>0.32866475913845844</v>
      </c>
    </row>
    <row r="30" spans="1:21" x14ac:dyDescent="0.2">
      <c r="A30" s="106" t="s">
        <v>80</v>
      </c>
      <c r="B30" s="7" t="s">
        <v>199</v>
      </c>
      <c r="C30" s="213" t="s">
        <v>156</v>
      </c>
      <c r="D30" s="105">
        <v>7</v>
      </c>
      <c r="E30" s="105">
        <f t="shared" si="0"/>
        <v>0.5</v>
      </c>
      <c r="F30" s="142">
        <v>0.11</v>
      </c>
      <c r="G30" s="142">
        <v>2.6457513110645911E-2</v>
      </c>
      <c r="H30" s="143">
        <v>0.12</v>
      </c>
      <c r="I30" s="143">
        <v>7.9372539331937719E-2</v>
      </c>
      <c r="J30" s="72">
        <f t="shared" si="1"/>
        <v>9.999999999999995E-3</v>
      </c>
      <c r="K30" s="72">
        <f t="shared" si="2"/>
        <v>6.9999999999999993E-2</v>
      </c>
      <c r="L30" s="72">
        <f t="shared" si="3"/>
        <v>6.9999999999999988E-4</v>
      </c>
      <c r="M30" s="72">
        <f t="shared" si="4"/>
        <v>2.6457513110645904E-2</v>
      </c>
      <c r="N30" s="72">
        <f t="shared" si="5"/>
        <v>6.9999999999999993E-2</v>
      </c>
      <c r="O30" s="72">
        <f t="shared" si="6"/>
        <v>0.14285714285714279</v>
      </c>
      <c r="P30" s="72">
        <f t="shared" si="7"/>
        <v>0.14431486880466471</v>
      </c>
      <c r="Q30" s="72">
        <f t="shared" si="8"/>
        <v>0.37988796875482211</v>
      </c>
      <c r="R30" s="72">
        <f t="shared" si="9"/>
        <v>0.86956521739130432</v>
      </c>
      <c r="S30" s="234">
        <f t="shared" si="10"/>
        <v>0.12422360248447199</v>
      </c>
      <c r="T30" s="234">
        <f t="shared" si="11"/>
        <v>0.10912277414341377</v>
      </c>
      <c r="U30" s="234">
        <f t="shared" si="12"/>
        <v>0.33033736413462794</v>
      </c>
    </row>
    <row r="31" spans="1:21" x14ac:dyDescent="0.2">
      <c r="A31" s="106" t="s">
        <v>80</v>
      </c>
      <c r="B31" s="7" t="s">
        <v>199</v>
      </c>
      <c r="C31" s="213" t="s">
        <v>171</v>
      </c>
      <c r="D31" s="105">
        <v>7</v>
      </c>
      <c r="E31" s="105">
        <f t="shared" si="0"/>
        <v>0.5</v>
      </c>
      <c r="F31" s="142">
        <v>0.11</v>
      </c>
      <c r="G31" s="142">
        <v>2.6457513110645911E-2</v>
      </c>
      <c r="H31" s="143">
        <v>0.11</v>
      </c>
      <c r="I31" s="143">
        <v>5.2915026221291822E-2</v>
      </c>
      <c r="J31" s="72">
        <f t="shared" si="1"/>
        <v>0</v>
      </c>
      <c r="K31" s="72">
        <f t="shared" si="2"/>
        <v>4.5825756949558406E-2</v>
      </c>
      <c r="L31" s="72">
        <f t="shared" si="3"/>
        <v>3.0000000000000008E-4</v>
      </c>
      <c r="M31" s="72">
        <f t="shared" si="4"/>
        <v>1.7320508075688777E-2</v>
      </c>
      <c r="N31" s="72">
        <f t="shared" si="5"/>
        <v>4.5825756949558406E-2</v>
      </c>
      <c r="O31" s="72">
        <f t="shared" si="6"/>
        <v>0</v>
      </c>
      <c r="P31" s="72">
        <f t="shared" si="7"/>
        <v>0.14285714285714285</v>
      </c>
      <c r="Q31" s="72">
        <f t="shared" si="8"/>
        <v>0.3779644730092272</v>
      </c>
      <c r="R31" s="72">
        <f t="shared" si="9"/>
        <v>0.86956521739130432</v>
      </c>
      <c r="S31" s="234">
        <f t="shared" si="10"/>
        <v>0</v>
      </c>
      <c r="T31" s="234">
        <f t="shared" si="11"/>
        <v>0.10802052389954091</v>
      </c>
      <c r="U31" s="234">
        <f t="shared" si="12"/>
        <v>0.32866475913845844</v>
      </c>
    </row>
    <row r="32" spans="1:21" x14ac:dyDescent="0.2">
      <c r="A32" s="106" t="s">
        <v>80</v>
      </c>
      <c r="B32" s="7" t="s">
        <v>42</v>
      </c>
      <c r="C32" s="213" t="s">
        <v>156</v>
      </c>
      <c r="D32" s="105">
        <v>9</v>
      </c>
      <c r="E32" s="105">
        <f t="shared" si="0"/>
        <v>0.5</v>
      </c>
      <c r="F32" s="142">
        <v>11.89666666666667</v>
      </c>
      <c r="G32" s="142">
        <v>5.48424458155477</v>
      </c>
      <c r="H32" s="143">
        <v>6.1400000000000006</v>
      </c>
      <c r="I32" s="143">
        <v>2.396623628941001</v>
      </c>
      <c r="J32" s="72">
        <f t="shared" si="1"/>
        <v>-5.7566666666666695</v>
      </c>
      <c r="K32" s="72">
        <f t="shared" si="2"/>
        <v>4.7620450751820238</v>
      </c>
      <c r="L32" s="72">
        <f t="shared" si="3"/>
        <v>2.5196748108961518</v>
      </c>
      <c r="M32" s="72">
        <f t="shared" si="4"/>
        <v>1.587348358394008</v>
      </c>
      <c r="N32" s="72">
        <f t="shared" si="5"/>
        <v>4.7620450751820238</v>
      </c>
      <c r="O32" s="72">
        <f t="shared" si="6"/>
        <v>-1.2088643798581908</v>
      </c>
      <c r="P32" s="72">
        <f t="shared" si="7"/>
        <v>0.19229739382721822</v>
      </c>
      <c r="Q32" s="72">
        <f t="shared" si="8"/>
        <v>0.43851726742195479</v>
      </c>
      <c r="R32" s="72">
        <f t="shared" si="9"/>
        <v>0.90322580645161288</v>
      </c>
      <c r="S32" s="234">
        <f t="shared" si="10"/>
        <v>-1.0918775043880433</v>
      </c>
      <c r="T32" s="234">
        <f t="shared" si="11"/>
        <v>0.15687945552605523</v>
      </c>
      <c r="U32" s="234">
        <f t="shared" si="12"/>
        <v>0.39608011251015268</v>
      </c>
    </row>
    <row r="33" spans="1:21" x14ac:dyDescent="0.2">
      <c r="A33" s="106" t="s">
        <v>80</v>
      </c>
      <c r="B33" s="7" t="s">
        <v>42</v>
      </c>
      <c r="C33" s="213" t="s">
        <v>171</v>
      </c>
      <c r="D33" s="105">
        <v>9</v>
      </c>
      <c r="E33" s="105">
        <f t="shared" si="0"/>
        <v>0.5</v>
      </c>
      <c r="F33" s="142">
        <v>11.89666666666667</v>
      </c>
      <c r="G33" s="142">
        <v>5.48424458155477</v>
      </c>
      <c r="H33" s="143">
        <v>5.23</v>
      </c>
      <c r="I33" s="143">
        <v>0.69099732367277011</v>
      </c>
      <c r="J33" s="72">
        <f t="shared" si="1"/>
        <v>-6.6666666666666696</v>
      </c>
      <c r="K33" s="72">
        <f t="shared" si="2"/>
        <v>5.1734724898673763</v>
      </c>
      <c r="L33" s="72">
        <f t="shared" si="3"/>
        <v>2.9738686226016164</v>
      </c>
      <c r="M33" s="72">
        <f t="shared" si="4"/>
        <v>1.7244908299557919</v>
      </c>
      <c r="N33" s="72">
        <f t="shared" si="5"/>
        <v>5.1734724898673763</v>
      </c>
      <c r="O33" s="72">
        <f t="shared" si="6"/>
        <v>-1.2886251313259756</v>
      </c>
      <c r="P33" s="72">
        <f t="shared" si="7"/>
        <v>0.2033641516158271</v>
      </c>
      <c r="Q33" s="72">
        <f t="shared" si="8"/>
        <v>0.45095914628248435</v>
      </c>
      <c r="R33" s="72">
        <f t="shared" si="9"/>
        <v>0.90322580645161288</v>
      </c>
      <c r="S33" s="234">
        <f t="shared" si="10"/>
        <v>-1.1639194734557199</v>
      </c>
      <c r="T33" s="234">
        <f t="shared" si="11"/>
        <v>0.1659079030872096</v>
      </c>
      <c r="U33" s="234">
        <f t="shared" si="12"/>
        <v>0.40731793857772775</v>
      </c>
    </row>
    <row r="34" spans="1:21" x14ac:dyDescent="0.2">
      <c r="A34" s="106" t="s">
        <v>80</v>
      </c>
      <c r="B34" s="7" t="s">
        <v>42</v>
      </c>
      <c r="C34" s="213" t="s">
        <v>172</v>
      </c>
      <c r="D34" s="105">
        <v>9</v>
      </c>
      <c r="E34" s="105">
        <f t="shared" si="0"/>
        <v>0.5</v>
      </c>
      <c r="F34" s="142">
        <v>11.89666666666667</v>
      </c>
      <c r="G34" s="142">
        <v>5.48424458155477</v>
      </c>
      <c r="H34" s="143">
        <v>9.41</v>
      </c>
      <c r="I34" s="143">
        <v>4.1197435373401872</v>
      </c>
      <c r="J34" s="72">
        <f t="shared" si="1"/>
        <v>-2.4866666666666699</v>
      </c>
      <c r="K34" s="72">
        <f t="shared" si="2"/>
        <v>4.945254722632181</v>
      </c>
      <c r="L34" s="72">
        <f t="shared" si="3"/>
        <v>2.7172826968573212</v>
      </c>
      <c r="M34" s="72">
        <f t="shared" si="4"/>
        <v>1.6484182408773937</v>
      </c>
      <c r="N34" s="72">
        <f t="shared" si="5"/>
        <v>4.945254722632181</v>
      </c>
      <c r="O34" s="72">
        <f t="shared" si="6"/>
        <v>-0.50283894483459624</v>
      </c>
      <c r="P34" s="72">
        <f t="shared" si="7"/>
        <v>0.12515816691346501</v>
      </c>
      <c r="Q34" s="72">
        <f t="shared" si="8"/>
        <v>0.3537770016740277</v>
      </c>
      <c r="R34" s="72">
        <f t="shared" si="9"/>
        <v>0.90322580645161288</v>
      </c>
      <c r="S34" s="234">
        <f t="shared" si="10"/>
        <v>-0.45417711146350626</v>
      </c>
      <c r="T34" s="234">
        <f t="shared" si="11"/>
        <v>0.10210614241431484</v>
      </c>
      <c r="U34" s="234">
        <f t="shared" si="12"/>
        <v>0.31954051764105729</v>
      </c>
    </row>
    <row r="35" spans="1:21" x14ac:dyDescent="0.2">
      <c r="A35" s="106" t="s">
        <v>80</v>
      </c>
      <c r="B35" s="7" t="s">
        <v>47</v>
      </c>
      <c r="C35" s="213" t="s">
        <v>156</v>
      </c>
      <c r="D35" s="105">
        <v>18</v>
      </c>
      <c r="E35" s="105">
        <f t="shared" si="0"/>
        <v>0.5</v>
      </c>
      <c r="F35" s="142">
        <v>1109</v>
      </c>
      <c r="G35" s="142">
        <v>379</v>
      </c>
      <c r="H35" s="143">
        <v>1005</v>
      </c>
      <c r="I35" s="143">
        <v>337</v>
      </c>
      <c r="J35" s="72">
        <f t="shared" si="1"/>
        <v>-104</v>
      </c>
      <c r="K35" s="72">
        <f t="shared" si="2"/>
        <v>359.843021330135</v>
      </c>
      <c r="L35" s="72">
        <f t="shared" si="3"/>
        <v>7193.7222222222226</v>
      </c>
      <c r="M35" s="72">
        <f t="shared" si="4"/>
        <v>84.815813515064647</v>
      </c>
      <c r="N35" s="72">
        <f t="shared" si="5"/>
        <v>359.843021330135</v>
      </c>
      <c r="O35" s="72">
        <f t="shared" si="6"/>
        <v>-0.28901491438008481</v>
      </c>
      <c r="P35" s="72">
        <f t="shared" si="7"/>
        <v>5.7875822798170211E-2</v>
      </c>
      <c r="Q35" s="72">
        <f t="shared" si="8"/>
        <v>0.24057394455379039</v>
      </c>
      <c r="R35" s="72">
        <f t="shared" si="9"/>
        <v>0.95522388059701491</v>
      </c>
      <c r="S35" s="234">
        <f t="shared" si="10"/>
        <v>-0.27607394806455859</v>
      </c>
      <c r="T35" s="234">
        <f t="shared" si="11"/>
        <v>5.2808948581266467E-2</v>
      </c>
      <c r="U35" s="234">
        <f t="shared" si="12"/>
        <v>0.22980197688720275</v>
      </c>
    </row>
    <row r="36" spans="1:21" x14ac:dyDescent="0.2">
      <c r="A36" s="107" t="s">
        <v>92</v>
      </c>
      <c r="B36" s="7" t="s">
        <v>200</v>
      </c>
      <c r="C36" s="213" t="s">
        <v>156</v>
      </c>
      <c r="D36" s="105">
        <v>16</v>
      </c>
      <c r="E36" s="105">
        <f t="shared" si="0"/>
        <v>0.5</v>
      </c>
      <c r="F36" s="142">
        <v>0.08</v>
      </c>
      <c r="G36" s="142">
        <v>0.01</v>
      </c>
      <c r="H36" s="143">
        <v>0.1</v>
      </c>
      <c r="I36" s="143">
        <v>0.02</v>
      </c>
      <c r="J36" s="72">
        <f t="shared" si="1"/>
        <v>2.0000000000000004E-2</v>
      </c>
      <c r="K36" s="72">
        <f t="shared" si="2"/>
        <v>1.7320508075688773E-2</v>
      </c>
      <c r="L36" s="72">
        <f t="shared" si="3"/>
        <v>1.8750000000000002E-5</v>
      </c>
      <c r="M36" s="72">
        <f t="shared" si="4"/>
        <v>4.3301270189221933E-3</v>
      </c>
      <c r="N36" s="72">
        <f t="shared" si="5"/>
        <v>1.7320508075688773E-2</v>
      </c>
      <c r="O36" s="72">
        <f t="shared" si="6"/>
        <v>1.1547005383792517</v>
      </c>
      <c r="P36" s="72">
        <f t="shared" si="7"/>
        <v>0.10416666666666669</v>
      </c>
      <c r="Q36" s="72">
        <f t="shared" si="8"/>
        <v>0.32274861218395146</v>
      </c>
      <c r="R36" s="72">
        <f t="shared" si="9"/>
        <v>0.94915254237288138</v>
      </c>
      <c r="S36" s="234">
        <f t="shared" si="10"/>
        <v>1.0959869516820016</v>
      </c>
      <c r="T36" s="234">
        <f t="shared" si="11"/>
        <v>9.3842765488844224E-2</v>
      </c>
      <c r="U36" s="234">
        <f t="shared" si="12"/>
        <v>0.30633766580171662</v>
      </c>
    </row>
    <row r="37" spans="1:21" x14ac:dyDescent="0.2">
      <c r="A37" s="107" t="s">
        <v>92</v>
      </c>
      <c r="B37" s="7" t="s">
        <v>201</v>
      </c>
      <c r="C37" s="213" t="s">
        <v>156</v>
      </c>
      <c r="D37" s="105">
        <v>10</v>
      </c>
      <c r="E37" s="105">
        <f t="shared" si="0"/>
        <v>0.5</v>
      </c>
      <c r="F37" s="142">
        <v>0.05</v>
      </c>
      <c r="G37" s="142">
        <v>0.01</v>
      </c>
      <c r="H37" s="143">
        <v>7.0000000000000007E-2</v>
      </c>
      <c r="I37" s="143">
        <v>0.01</v>
      </c>
      <c r="J37" s="72">
        <f t="shared" si="1"/>
        <v>2.0000000000000004E-2</v>
      </c>
      <c r="K37" s="72">
        <f t="shared" si="2"/>
        <v>0.01</v>
      </c>
      <c r="L37" s="72">
        <f t="shared" si="3"/>
        <v>1.0000000000000001E-5</v>
      </c>
      <c r="M37" s="72">
        <f t="shared" si="4"/>
        <v>3.1622776601683794E-3</v>
      </c>
      <c r="N37" s="72">
        <f t="shared" si="5"/>
        <v>0.01</v>
      </c>
      <c r="O37" s="72">
        <f t="shared" si="6"/>
        <v>2.0000000000000004</v>
      </c>
      <c r="P37" s="72">
        <f t="shared" si="7"/>
        <v>0.3000000000000001</v>
      </c>
      <c r="Q37" s="72">
        <f t="shared" si="8"/>
        <v>0.54772255750516619</v>
      </c>
      <c r="R37" s="72">
        <f t="shared" si="9"/>
        <v>0.91428571428571426</v>
      </c>
      <c r="S37" s="234">
        <f t="shared" si="10"/>
        <v>1.828571428571429</v>
      </c>
      <c r="T37" s="234">
        <f t="shared" si="11"/>
        <v>0.25077551020408168</v>
      </c>
      <c r="U37" s="234">
        <f t="shared" si="12"/>
        <v>0.50077490971900906</v>
      </c>
    </row>
    <row r="38" spans="1:21" x14ac:dyDescent="0.2">
      <c r="A38" s="107" t="s">
        <v>92</v>
      </c>
      <c r="B38" s="7" t="s">
        <v>12</v>
      </c>
      <c r="C38" s="213" t="s">
        <v>156</v>
      </c>
      <c r="D38" s="105">
        <v>7</v>
      </c>
      <c r="E38" s="105">
        <f t="shared" si="0"/>
        <v>0.5</v>
      </c>
      <c r="F38" s="142">
        <v>3.62</v>
      </c>
      <c r="G38" s="142">
        <v>1.6625610443173311</v>
      </c>
      <c r="H38" s="143">
        <v>4.0766666666666671</v>
      </c>
      <c r="I38" s="143">
        <v>3.352678349037713</v>
      </c>
      <c r="J38" s="72">
        <f t="shared" si="1"/>
        <v>0.456666666666667</v>
      </c>
      <c r="K38" s="72">
        <f t="shared" si="2"/>
        <v>2.9035373117891106</v>
      </c>
      <c r="L38" s="72">
        <f t="shared" si="3"/>
        <v>1.2043612744216479</v>
      </c>
      <c r="M38" s="72">
        <f t="shared" si="4"/>
        <v>1.0974339499129995</v>
      </c>
      <c r="N38" s="72">
        <f t="shared" si="5"/>
        <v>2.9035373117891106</v>
      </c>
      <c r="O38" s="72">
        <f t="shared" si="6"/>
        <v>0.15727942079906551</v>
      </c>
      <c r="P38" s="72">
        <f t="shared" si="7"/>
        <v>0.1446240583004921</v>
      </c>
      <c r="Q38" s="72">
        <f t="shared" si="8"/>
        <v>0.38029469928003479</v>
      </c>
      <c r="R38" s="72">
        <f t="shared" si="9"/>
        <v>0.86956521739130432</v>
      </c>
      <c r="S38" s="234">
        <f t="shared" si="10"/>
        <v>0.13676471373831783</v>
      </c>
      <c r="T38" s="234">
        <f t="shared" si="11"/>
        <v>0.10935656582267834</v>
      </c>
      <c r="U38" s="234">
        <f t="shared" si="12"/>
        <v>0.33069104285220419</v>
      </c>
    </row>
    <row r="39" spans="1:21" x14ac:dyDescent="0.2">
      <c r="A39" s="107" t="s">
        <v>92</v>
      </c>
      <c r="B39" s="7" t="s">
        <v>12</v>
      </c>
      <c r="C39" s="213" t="s">
        <v>171</v>
      </c>
      <c r="D39" s="105">
        <v>7</v>
      </c>
      <c r="E39" s="105">
        <f t="shared" si="0"/>
        <v>0.5</v>
      </c>
      <c r="F39" s="142">
        <v>3.62</v>
      </c>
      <c r="G39" s="142">
        <v>1.6625610443173311</v>
      </c>
      <c r="H39" s="143">
        <v>3.723333333333334</v>
      </c>
      <c r="I39" s="143">
        <v>2.2412425127813749</v>
      </c>
      <c r="J39" s="72">
        <f t="shared" si="1"/>
        <v>0.10333333333333394</v>
      </c>
      <c r="K39" s="72">
        <f t="shared" si="2"/>
        <v>2.0152108412178373</v>
      </c>
      <c r="L39" s="72">
        <f t="shared" si="3"/>
        <v>0.58015353350884336</v>
      </c>
      <c r="M39" s="72">
        <f t="shared" si="4"/>
        <v>0.7616781036033814</v>
      </c>
      <c r="N39" s="72">
        <f t="shared" si="5"/>
        <v>2.0152108412178373</v>
      </c>
      <c r="O39" s="72">
        <f t="shared" si="6"/>
        <v>5.1276685902943674E-2</v>
      </c>
      <c r="P39" s="72">
        <f t="shared" si="7"/>
        <v>0.14304494989408492</v>
      </c>
      <c r="Q39" s="72">
        <f t="shared" si="8"/>
        <v>0.37821283676533896</v>
      </c>
      <c r="R39" s="72">
        <f t="shared" si="9"/>
        <v>0.86956521739130432</v>
      </c>
      <c r="S39" s="234">
        <f t="shared" si="10"/>
        <v>4.4588422524298843E-2</v>
      </c>
      <c r="T39" s="234">
        <f t="shared" si="11"/>
        <v>0.10816253300119844</v>
      </c>
      <c r="U39" s="234">
        <f t="shared" si="12"/>
        <v>0.32888072762203385</v>
      </c>
    </row>
    <row r="40" spans="1:21" x14ac:dyDescent="0.2">
      <c r="A40" s="107" t="s">
        <v>92</v>
      </c>
      <c r="B40" s="7" t="s">
        <v>228</v>
      </c>
      <c r="C40" s="213" t="s">
        <v>156</v>
      </c>
      <c r="D40" s="105">
        <v>14</v>
      </c>
      <c r="E40" s="105">
        <f t="shared" si="0"/>
        <v>0.5</v>
      </c>
      <c r="F40" s="142">
        <v>14.84</v>
      </c>
      <c r="G40" s="142">
        <v>6.87</v>
      </c>
      <c r="H40" s="143">
        <v>11.47</v>
      </c>
      <c r="I40" s="143">
        <v>2.72</v>
      </c>
      <c r="J40" s="72">
        <f t="shared" si="1"/>
        <v>-3.3699999999999992</v>
      </c>
      <c r="K40" s="72">
        <f t="shared" si="2"/>
        <v>5.9924035244632856</v>
      </c>
      <c r="L40" s="72">
        <f t="shared" si="3"/>
        <v>2.5649214285714295</v>
      </c>
      <c r="M40" s="72">
        <f t="shared" si="4"/>
        <v>1.6015372079884467</v>
      </c>
      <c r="N40" s="72">
        <f t="shared" si="5"/>
        <v>5.9924035244632856</v>
      </c>
      <c r="O40" s="72">
        <f t="shared" si="6"/>
        <v>-0.56237868265085433</v>
      </c>
      <c r="P40" s="72">
        <f t="shared" si="7"/>
        <v>8.2723920810718221E-2</v>
      </c>
      <c r="Q40" s="72">
        <f t="shared" si="8"/>
        <v>0.28761766428840602</v>
      </c>
      <c r="R40" s="72">
        <f t="shared" si="9"/>
        <v>0.94117647058823528</v>
      </c>
      <c r="S40" s="234">
        <f t="shared" si="10"/>
        <v>-0.52929758367139235</v>
      </c>
      <c r="T40" s="234">
        <f t="shared" si="11"/>
        <v>7.327793677350819E-2</v>
      </c>
      <c r="U40" s="234">
        <f t="shared" si="12"/>
        <v>0.2706989781537939</v>
      </c>
    </row>
    <row r="41" spans="1:21" x14ac:dyDescent="0.2">
      <c r="A41" s="107" t="s">
        <v>92</v>
      </c>
      <c r="B41" s="7" t="s">
        <v>228</v>
      </c>
      <c r="C41" s="213" t="s">
        <v>172</v>
      </c>
      <c r="D41" s="105">
        <v>14</v>
      </c>
      <c r="E41" s="105">
        <f t="shared" si="0"/>
        <v>0.5</v>
      </c>
      <c r="F41" s="142">
        <v>14.84</v>
      </c>
      <c r="G41" s="142">
        <v>6.87</v>
      </c>
      <c r="H41" s="143">
        <v>13.58</v>
      </c>
      <c r="I41" s="143">
        <v>3.25</v>
      </c>
      <c r="J41" s="72">
        <f t="shared" si="1"/>
        <v>-1.2599999999999998</v>
      </c>
      <c r="K41" s="72">
        <f t="shared" si="2"/>
        <v>5.9524700755232693</v>
      </c>
      <c r="L41" s="72">
        <f t="shared" si="3"/>
        <v>2.53085</v>
      </c>
      <c r="M41" s="72">
        <f t="shared" si="4"/>
        <v>1.5908645448308916</v>
      </c>
      <c r="N41" s="72">
        <f t="shared" si="5"/>
        <v>5.9524700755232693</v>
      </c>
      <c r="O41" s="72">
        <f t="shared" si="6"/>
        <v>-0.21167683062887735</v>
      </c>
      <c r="P41" s="72">
        <f t="shared" si="7"/>
        <v>7.3028824308038795E-2</v>
      </c>
      <c r="Q41" s="72">
        <f t="shared" si="8"/>
        <v>0.2702384582327963</v>
      </c>
      <c r="R41" s="72">
        <f t="shared" si="9"/>
        <v>0.94117647058823528</v>
      </c>
      <c r="S41" s="234">
        <f t="shared" si="10"/>
        <v>-0.19922525235659044</v>
      </c>
      <c r="T41" s="234">
        <f t="shared" si="11"/>
        <v>6.4689892812657204E-2</v>
      </c>
      <c r="U41" s="234">
        <f t="shared" si="12"/>
        <v>0.25434207833674949</v>
      </c>
    </row>
    <row r="42" spans="1:21" x14ac:dyDescent="0.2">
      <c r="A42" s="107" t="s">
        <v>92</v>
      </c>
      <c r="B42" s="3" t="s">
        <v>229</v>
      </c>
      <c r="C42" s="213" t="s">
        <v>156</v>
      </c>
      <c r="D42" s="105">
        <v>14</v>
      </c>
      <c r="E42" s="105">
        <f t="shared" si="0"/>
        <v>0.5</v>
      </c>
      <c r="F42" s="142">
        <v>17.649999999999999</v>
      </c>
      <c r="G42" s="142">
        <v>6.72</v>
      </c>
      <c r="H42" s="143">
        <v>15.59</v>
      </c>
      <c r="I42" s="143">
        <v>4.1500000000000004</v>
      </c>
      <c r="J42" s="72">
        <f t="shared" si="1"/>
        <v>-2.0599999999999987</v>
      </c>
      <c r="K42" s="72">
        <f t="shared" si="2"/>
        <v>5.8730656389997886</v>
      </c>
      <c r="L42" s="72">
        <f t="shared" si="3"/>
        <v>2.4637785714285712</v>
      </c>
      <c r="M42" s="72">
        <f t="shared" si="4"/>
        <v>1.5696428165122698</v>
      </c>
      <c r="N42" s="72">
        <f t="shared" si="5"/>
        <v>5.8730656389997886</v>
      </c>
      <c r="O42" s="72">
        <f t="shared" si="6"/>
        <v>-0.35075378458580053</v>
      </c>
      <c r="P42" s="72">
        <f t="shared" si="7"/>
        <v>7.5822436335759358E-2</v>
      </c>
      <c r="Q42" s="72">
        <f t="shared" si="8"/>
        <v>0.27535874116461123</v>
      </c>
      <c r="R42" s="72">
        <f t="shared" si="9"/>
        <v>0.94117647058823528</v>
      </c>
      <c r="S42" s="234">
        <f t="shared" si="10"/>
        <v>-0.33012120902192993</v>
      </c>
      <c r="T42" s="234">
        <f t="shared" si="11"/>
        <v>6.7164511079426975E-2</v>
      </c>
      <c r="U42" s="234">
        <f t="shared" si="12"/>
        <v>0.25916116815492823</v>
      </c>
    </row>
    <row r="43" spans="1:21" x14ac:dyDescent="0.2">
      <c r="A43" s="107" t="s">
        <v>92</v>
      </c>
      <c r="B43" s="3" t="s">
        <v>229</v>
      </c>
      <c r="C43" s="213" t="s">
        <v>172</v>
      </c>
      <c r="D43" s="105">
        <v>14</v>
      </c>
      <c r="E43" s="105">
        <f t="shared" si="0"/>
        <v>0.5</v>
      </c>
      <c r="F43" s="142">
        <v>17.649999999999999</v>
      </c>
      <c r="G43" s="142">
        <v>6.72</v>
      </c>
      <c r="H43" s="143">
        <v>16.100000000000001</v>
      </c>
      <c r="I43" s="143">
        <v>3.85</v>
      </c>
      <c r="J43" s="72">
        <f t="shared" si="1"/>
        <v>-1.5499999999999972</v>
      </c>
      <c r="K43" s="72">
        <f t="shared" si="2"/>
        <v>5.8402825274125219</v>
      </c>
      <c r="L43" s="72">
        <f t="shared" si="3"/>
        <v>2.4363499999999996</v>
      </c>
      <c r="M43" s="72">
        <f t="shared" si="4"/>
        <v>1.5608811613957032</v>
      </c>
      <c r="N43" s="72">
        <f t="shared" si="5"/>
        <v>5.8402825274125219</v>
      </c>
      <c r="O43" s="72">
        <f t="shared" si="6"/>
        <v>-0.26539811947876929</v>
      </c>
      <c r="P43" s="72">
        <f t="shared" si="7"/>
        <v>7.3944148636530968E-2</v>
      </c>
      <c r="Q43" s="72">
        <f t="shared" si="8"/>
        <v>0.27192673394966332</v>
      </c>
      <c r="R43" s="72">
        <f t="shared" si="9"/>
        <v>0.94117647058823528</v>
      </c>
      <c r="S43" s="234">
        <f t="shared" si="10"/>
        <v>-0.24978646539178287</v>
      </c>
      <c r="T43" s="234">
        <f t="shared" si="11"/>
        <v>6.5500699138241969E-2</v>
      </c>
      <c r="U43" s="234">
        <f t="shared" si="12"/>
        <v>0.25593104371733016</v>
      </c>
    </row>
    <row r="44" spans="1:21" x14ac:dyDescent="0.2">
      <c r="A44" s="107" t="s">
        <v>92</v>
      </c>
      <c r="B44" s="7" t="s">
        <v>28</v>
      </c>
      <c r="C44" s="213" t="s">
        <v>156</v>
      </c>
      <c r="D44" s="105">
        <v>31</v>
      </c>
      <c r="E44" s="105">
        <f t="shared" si="0"/>
        <v>0.5</v>
      </c>
      <c r="F44" s="142">
        <v>10.02290322580645</v>
      </c>
      <c r="G44" s="142">
        <v>2.0508342912879591</v>
      </c>
      <c r="H44" s="143">
        <v>10.98741935483871</v>
      </c>
      <c r="I44" s="143">
        <v>2.4751928783321588</v>
      </c>
      <c r="J44" s="72">
        <f t="shared" si="1"/>
        <v>0.96451612903226014</v>
      </c>
      <c r="K44" s="72">
        <f t="shared" si="2"/>
        <v>2.2926601673238634</v>
      </c>
      <c r="L44" s="72">
        <f t="shared" si="3"/>
        <v>0.16955776267204789</v>
      </c>
      <c r="M44" s="72">
        <f t="shared" si="4"/>
        <v>0.41177392179695876</v>
      </c>
      <c r="N44" s="72">
        <f t="shared" si="5"/>
        <v>2.2926601673238634</v>
      </c>
      <c r="O44" s="72">
        <f t="shared" si="6"/>
        <v>0.42069738148680963</v>
      </c>
      <c r="P44" s="72">
        <f t="shared" si="7"/>
        <v>3.5112682044997713E-2</v>
      </c>
      <c r="Q44" s="72">
        <f t="shared" si="8"/>
        <v>0.18738378276947479</v>
      </c>
      <c r="R44" s="72">
        <f t="shared" si="9"/>
        <v>0.97478991596638653</v>
      </c>
      <c r="S44" s="234">
        <f t="shared" si="10"/>
        <v>0.410091565146806</v>
      </c>
      <c r="T44" s="234">
        <f t="shared" si="11"/>
        <v>3.3364610521678502E-2</v>
      </c>
      <c r="U44" s="234">
        <f t="shared" si="12"/>
        <v>0.18265982185931995</v>
      </c>
    </row>
    <row r="45" spans="1:21" x14ac:dyDescent="0.2">
      <c r="A45" s="107" t="s">
        <v>92</v>
      </c>
      <c r="B45" s="7" t="s">
        <v>28</v>
      </c>
      <c r="C45" s="213" t="s">
        <v>172</v>
      </c>
      <c r="D45" s="105">
        <v>31</v>
      </c>
      <c r="E45" s="105">
        <f t="shared" si="0"/>
        <v>0.5</v>
      </c>
      <c r="F45" s="142">
        <v>10.02290322580645</v>
      </c>
      <c r="G45" s="142">
        <v>2.0508342912879591</v>
      </c>
      <c r="H45" s="143">
        <v>10.453225806451609</v>
      </c>
      <c r="I45" s="143">
        <v>1.310390239831311</v>
      </c>
      <c r="J45" s="72">
        <f t="shared" si="1"/>
        <v>0.43032258064515894</v>
      </c>
      <c r="K45" s="72">
        <f t="shared" si="2"/>
        <v>1.7987914365352755</v>
      </c>
      <c r="L45" s="72">
        <f t="shared" si="3"/>
        <v>0.10437582684363356</v>
      </c>
      <c r="M45" s="72">
        <f t="shared" si="4"/>
        <v>0.32307247924209448</v>
      </c>
      <c r="N45" s="72">
        <f t="shared" si="5"/>
        <v>1.7987914365352755</v>
      </c>
      <c r="O45" s="72">
        <f t="shared" si="6"/>
        <v>0.23922872430058958</v>
      </c>
      <c r="P45" s="72">
        <f t="shared" si="7"/>
        <v>3.3181135202104639E-2</v>
      </c>
      <c r="Q45" s="72">
        <f t="shared" si="8"/>
        <v>0.1821568972125531</v>
      </c>
      <c r="R45" s="72">
        <f t="shared" si="9"/>
        <v>0.97478991596638653</v>
      </c>
      <c r="S45" s="234">
        <f t="shared" si="10"/>
        <v>0.23319774805771756</v>
      </c>
      <c r="T45" s="234">
        <f t="shared" si="11"/>
        <v>3.1529225003850012E-2</v>
      </c>
      <c r="U45" s="234">
        <f t="shared" si="12"/>
        <v>0.17756470652652237</v>
      </c>
    </row>
    <row r="46" spans="1:21" x14ac:dyDescent="0.2">
      <c r="A46" s="107" t="s">
        <v>92</v>
      </c>
      <c r="B46" s="7" t="s">
        <v>32</v>
      </c>
      <c r="C46" s="213" t="s">
        <v>156</v>
      </c>
      <c r="D46" s="105">
        <v>31</v>
      </c>
      <c r="E46" s="105">
        <f t="shared" si="0"/>
        <v>0.5</v>
      </c>
      <c r="F46" s="142">
        <v>10.14</v>
      </c>
      <c r="G46" s="142">
        <v>1.154899707045306</v>
      </c>
      <c r="H46" s="143">
        <v>10.483870967741939</v>
      </c>
      <c r="I46" s="143">
        <v>0.66227223717217099</v>
      </c>
      <c r="J46" s="72">
        <f t="shared" si="1"/>
        <v>0.34387096774193893</v>
      </c>
      <c r="K46" s="72">
        <f t="shared" si="2"/>
        <v>1.0037628389056781</v>
      </c>
      <c r="L46" s="72">
        <f t="shared" si="3"/>
        <v>3.2501285057031815E-2</v>
      </c>
      <c r="M46" s="72">
        <f t="shared" si="4"/>
        <v>0.18028112784490732</v>
      </c>
      <c r="N46" s="72">
        <f t="shared" si="5"/>
        <v>1.0037628389056781</v>
      </c>
      <c r="O46" s="72">
        <f t="shared" si="6"/>
        <v>0.34258188728807076</v>
      </c>
      <c r="P46" s="72">
        <f t="shared" si="7"/>
        <v>3.41510056370622E-2</v>
      </c>
      <c r="Q46" s="72">
        <f t="shared" si="8"/>
        <v>0.18479990702666005</v>
      </c>
      <c r="R46" s="72">
        <f t="shared" si="9"/>
        <v>0.97478991596638653</v>
      </c>
      <c r="S46" s="234">
        <f t="shared" si="10"/>
        <v>0.33394536912114459</v>
      </c>
      <c r="T46" s="234">
        <f t="shared" si="11"/>
        <v>3.2450810808015602E-2</v>
      </c>
      <c r="U46" s="234">
        <f t="shared" si="12"/>
        <v>0.18014108584111399</v>
      </c>
    </row>
    <row r="47" spans="1:21" x14ac:dyDescent="0.2">
      <c r="A47" s="107" t="s">
        <v>92</v>
      </c>
      <c r="B47" s="7" t="s">
        <v>32</v>
      </c>
      <c r="C47" s="213" t="s">
        <v>172</v>
      </c>
      <c r="D47" s="105">
        <v>31</v>
      </c>
      <c r="E47" s="105">
        <f t="shared" si="0"/>
        <v>0.5</v>
      </c>
      <c r="F47" s="142">
        <v>10.14</v>
      </c>
      <c r="G47" s="142">
        <v>1.154899707045306</v>
      </c>
      <c r="H47" s="143">
        <v>11.082903225806451</v>
      </c>
      <c r="I47" s="143">
        <v>1.407999037756269</v>
      </c>
      <c r="J47" s="72">
        <f t="shared" si="1"/>
        <v>0.94290322580645025</v>
      </c>
      <c r="K47" s="72">
        <f t="shared" si="2"/>
        <v>1.3000603629951668</v>
      </c>
      <c r="L47" s="72">
        <f t="shared" si="3"/>
        <v>5.4521191852616932E-2</v>
      </c>
      <c r="M47" s="72">
        <f t="shared" si="4"/>
        <v>0.23349773414878555</v>
      </c>
      <c r="N47" s="72">
        <f t="shared" si="5"/>
        <v>1.3000603629951668</v>
      </c>
      <c r="O47" s="72">
        <f t="shared" si="6"/>
        <v>0.7252764968805957</v>
      </c>
      <c r="P47" s="72">
        <f t="shared" si="7"/>
        <v>4.0742354789151433E-2</v>
      </c>
      <c r="Q47" s="72">
        <f t="shared" si="8"/>
        <v>0.20184735517006763</v>
      </c>
      <c r="R47" s="72">
        <f t="shared" si="9"/>
        <v>0.97478991596638653</v>
      </c>
      <c r="S47" s="234">
        <f t="shared" si="10"/>
        <v>0.70699221544663104</v>
      </c>
      <c r="T47" s="234">
        <f t="shared" si="11"/>
        <v>3.8714012149058799E-2</v>
      </c>
      <c r="U47" s="234">
        <f t="shared" si="12"/>
        <v>0.19675876638426762</v>
      </c>
    </row>
    <row r="48" spans="1:21" x14ac:dyDescent="0.2">
      <c r="A48" s="107" t="s">
        <v>92</v>
      </c>
      <c r="B48" s="7" t="s">
        <v>35</v>
      </c>
      <c r="C48" s="213" t="s">
        <v>156</v>
      </c>
      <c r="D48" s="105">
        <v>16</v>
      </c>
      <c r="E48" s="105">
        <f t="shared" si="0"/>
        <v>0.5</v>
      </c>
      <c r="F48" s="142">
        <v>10.11375</v>
      </c>
      <c r="G48" s="142">
        <v>1.039255342380623</v>
      </c>
      <c r="H48" s="143">
        <v>12.351875</v>
      </c>
      <c r="I48" s="143">
        <v>1.9259187201610211</v>
      </c>
      <c r="J48" s="72">
        <f t="shared" si="1"/>
        <v>2.2381250000000001</v>
      </c>
      <c r="K48" s="72">
        <f t="shared" si="2"/>
        <v>1.6696386628295172</v>
      </c>
      <c r="L48" s="72">
        <f t="shared" si="3"/>
        <v>0.17423082902594614</v>
      </c>
      <c r="M48" s="72">
        <f t="shared" si="4"/>
        <v>0.41740966570737931</v>
      </c>
      <c r="N48" s="72">
        <f t="shared" si="5"/>
        <v>1.6696386628295172</v>
      </c>
      <c r="O48" s="72">
        <f t="shared" si="6"/>
        <v>1.3404846508567763</v>
      </c>
      <c r="P48" s="72">
        <f t="shared" si="7"/>
        <v>0.11865309684945666</v>
      </c>
      <c r="Q48" s="72">
        <f t="shared" si="8"/>
        <v>0.34446058823827241</v>
      </c>
      <c r="R48" s="72">
        <f t="shared" si="9"/>
        <v>0.94915254237288138</v>
      </c>
      <c r="S48" s="234">
        <f t="shared" si="10"/>
        <v>1.2723244143725334</v>
      </c>
      <c r="T48" s="234">
        <f t="shared" si="11"/>
        <v>0.10689345352481934</v>
      </c>
      <c r="U48" s="234">
        <f t="shared" si="12"/>
        <v>0.32694564307361451</v>
      </c>
    </row>
    <row r="49" spans="1:21" x14ac:dyDescent="0.2">
      <c r="A49" s="107" t="s">
        <v>92</v>
      </c>
      <c r="B49" s="7" t="s">
        <v>35</v>
      </c>
      <c r="C49" s="213" t="s">
        <v>172</v>
      </c>
      <c r="D49" s="105">
        <v>16</v>
      </c>
      <c r="E49" s="105">
        <f t="shared" si="0"/>
        <v>0.5</v>
      </c>
      <c r="F49" s="142">
        <v>10.11375</v>
      </c>
      <c r="G49" s="142">
        <v>1.039255342380623</v>
      </c>
      <c r="H49" s="143">
        <v>13.734375</v>
      </c>
      <c r="I49" s="143">
        <v>3.335765716693345</v>
      </c>
      <c r="J49" s="72">
        <f t="shared" si="1"/>
        <v>3.6206250000000004</v>
      </c>
      <c r="K49" s="72">
        <f t="shared" si="2"/>
        <v>2.9564627921436193</v>
      </c>
      <c r="L49" s="72">
        <f t="shared" si="3"/>
        <v>0.54629201508310288</v>
      </c>
      <c r="M49" s="72">
        <f t="shared" si="4"/>
        <v>0.73911569803590482</v>
      </c>
      <c r="N49" s="72">
        <f t="shared" si="5"/>
        <v>2.9564627921436193</v>
      </c>
      <c r="O49" s="72">
        <f t="shared" si="6"/>
        <v>1.2246475787286408</v>
      </c>
      <c r="P49" s="72">
        <f t="shared" si="7"/>
        <v>0.10936755287768507</v>
      </c>
      <c r="Q49" s="72">
        <f t="shared" si="8"/>
        <v>0.33070765470077201</v>
      </c>
      <c r="R49" s="72">
        <f t="shared" si="9"/>
        <v>0.94915254237288138</v>
      </c>
      <c r="S49" s="234">
        <f t="shared" si="10"/>
        <v>1.162377362861083</v>
      </c>
      <c r="T49" s="234">
        <f t="shared" si="11"/>
        <v>9.8528194721177936E-2</v>
      </c>
      <c r="U49" s="234">
        <f t="shared" si="12"/>
        <v>0.31389201124141075</v>
      </c>
    </row>
    <row r="50" spans="1:21" x14ac:dyDescent="0.2">
      <c r="A50" s="107" t="s">
        <v>92</v>
      </c>
      <c r="B50" s="7" t="s">
        <v>38</v>
      </c>
      <c r="C50" s="213" t="s">
        <v>156</v>
      </c>
      <c r="D50" s="105">
        <v>16</v>
      </c>
      <c r="E50" s="105">
        <f t="shared" si="0"/>
        <v>0.5</v>
      </c>
      <c r="F50" s="142">
        <v>10.828749999999999</v>
      </c>
      <c r="G50" s="142">
        <v>2.9309449556983038</v>
      </c>
      <c r="H50" s="143">
        <v>13.671875</v>
      </c>
      <c r="I50" s="143">
        <v>2.8009908217152968</v>
      </c>
      <c r="J50" s="72">
        <f t="shared" si="1"/>
        <v>2.8431250000000006</v>
      </c>
      <c r="K50" s="72">
        <f t="shared" si="2"/>
        <v>2.8681767722375429</v>
      </c>
      <c r="L50" s="72">
        <f t="shared" si="3"/>
        <v>0.51415237480018561</v>
      </c>
      <c r="M50" s="72">
        <f t="shared" si="4"/>
        <v>0.71704419305938571</v>
      </c>
      <c r="N50" s="72">
        <f t="shared" si="5"/>
        <v>2.8681767722375429</v>
      </c>
      <c r="O50" s="72">
        <f t="shared" si="6"/>
        <v>0.99126561079497244</v>
      </c>
      <c r="P50" s="72">
        <f t="shared" si="7"/>
        <v>9.3206484723272809E-2</v>
      </c>
      <c r="Q50" s="72">
        <f t="shared" si="8"/>
        <v>0.30529737097340487</v>
      </c>
      <c r="R50" s="72">
        <f t="shared" si="9"/>
        <v>0.94915254237288138</v>
      </c>
      <c r="S50" s="234">
        <f t="shared" si="10"/>
        <v>0.94086227465285521</v>
      </c>
      <c r="T50" s="234">
        <f t="shared" si="11"/>
        <v>8.3968841164086053E-2</v>
      </c>
      <c r="U50" s="234">
        <f t="shared" si="12"/>
        <v>0.28977377583916397</v>
      </c>
    </row>
    <row r="51" spans="1:21" x14ac:dyDescent="0.2">
      <c r="A51" s="107" t="s">
        <v>92</v>
      </c>
      <c r="B51" s="7" t="s">
        <v>38</v>
      </c>
      <c r="C51" s="213" t="s">
        <v>172</v>
      </c>
      <c r="D51" s="105">
        <v>16</v>
      </c>
      <c r="E51" s="105">
        <f t="shared" si="0"/>
        <v>0.5</v>
      </c>
      <c r="F51" s="142">
        <v>10.828749999999999</v>
      </c>
      <c r="G51" s="142">
        <v>2.9309449556983038</v>
      </c>
      <c r="H51" s="143">
        <v>14.220625</v>
      </c>
      <c r="I51" s="143">
        <v>2.7425984485520298</v>
      </c>
      <c r="J51" s="72">
        <f t="shared" si="1"/>
        <v>3.3918750000000006</v>
      </c>
      <c r="K51" s="72">
        <f t="shared" si="2"/>
        <v>2.8414572836915513</v>
      </c>
      <c r="L51" s="72">
        <f t="shared" si="3"/>
        <v>0.50461746844023558</v>
      </c>
      <c r="M51" s="72">
        <f t="shared" si="4"/>
        <v>0.71036432092288782</v>
      </c>
      <c r="N51" s="72">
        <f t="shared" si="5"/>
        <v>2.8414572836915513</v>
      </c>
      <c r="O51" s="72">
        <f t="shared" si="6"/>
        <v>1.1937096571775172</v>
      </c>
      <c r="P51" s="72">
        <f t="shared" si="7"/>
        <v>0.10702946080121456</v>
      </c>
      <c r="Q51" s="72">
        <f t="shared" si="8"/>
        <v>0.32715357372526832</v>
      </c>
      <c r="R51" s="72">
        <f t="shared" si="9"/>
        <v>0.94915254237288138</v>
      </c>
      <c r="S51" s="234">
        <f t="shared" si="10"/>
        <v>1.1330125559651012</v>
      </c>
      <c r="T51" s="234">
        <f t="shared" si="11"/>
        <v>9.6421829667511894E-2</v>
      </c>
      <c r="U51" s="234">
        <f t="shared" si="12"/>
        <v>0.3105186462477123</v>
      </c>
    </row>
    <row r="52" spans="1:21" x14ac:dyDescent="0.2">
      <c r="A52" s="107" t="s">
        <v>92</v>
      </c>
      <c r="B52" s="7" t="s">
        <v>40</v>
      </c>
      <c r="C52" s="213" t="s">
        <v>156</v>
      </c>
      <c r="D52" s="105">
        <v>16</v>
      </c>
      <c r="E52" s="105">
        <f t="shared" si="0"/>
        <v>0.5</v>
      </c>
      <c r="F52" s="142">
        <v>11.708125000000001</v>
      </c>
      <c r="G52" s="142">
        <v>2.941483115142201</v>
      </c>
      <c r="H52" s="143">
        <v>11.601875</v>
      </c>
      <c r="I52" s="143">
        <v>2.5780023758716748</v>
      </c>
      <c r="J52" s="72">
        <f t="shared" si="1"/>
        <v>-0.10625000000000107</v>
      </c>
      <c r="K52" s="72">
        <f t="shared" si="2"/>
        <v>2.7776372526382302</v>
      </c>
      <c r="L52" s="72">
        <f t="shared" si="3"/>
        <v>0.48220429420272848</v>
      </c>
      <c r="M52" s="72">
        <f t="shared" si="4"/>
        <v>0.69440931315955756</v>
      </c>
      <c r="N52" s="72">
        <f t="shared" si="5"/>
        <v>2.7776372526382302</v>
      </c>
      <c r="O52" s="72">
        <f t="shared" si="6"/>
        <v>-3.8251935129068292E-2</v>
      </c>
      <c r="P52" s="72">
        <f t="shared" si="7"/>
        <v>6.2545725329409954E-2</v>
      </c>
      <c r="Q52" s="72">
        <f t="shared" si="8"/>
        <v>0.2500914339384897</v>
      </c>
      <c r="R52" s="72">
        <f t="shared" si="9"/>
        <v>0.94915254237288138</v>
      </c>
      <c r="S52" s="234">
        <f t="shared" si="10"/>
        <v>-3.6306921478437698E-2</v>
      </c>
      <c r="T52" s="234">
        <f t="shared" si="11"/>
        <v>5.634685281040782E-2</v>
      </c>
      <c r="U52" s="234">
        <f t="shared" si="12"/>
        <v>0.23737492034839699</v>
      </c>
    </row>
    <row r="53" spans="1:21" x14ac:dyDescent="0.2">
      <c r="A53" s="107" t="s">
        <v>92</v>
      </c>
      <c r="B53" s="7" t="s">
        <v>40</v>
      </c>
      <c r="C53" s="213" t="s">
        <v>172</v>
      </c>
      <c r="D53" s="105">
        <v>16</v>
      </c>
      <c r="E53" s="105">
        <f t="shared" si="0"/>
        <v>0.5</v>
      </c>
      <c r="F53" s="142">
        <v>11.708125000000001</v>
      </c>
      <c r="G53" s="142">
        <v>2.941483115142201</v>
      </c>
      <c r="H53" s="143">
        <v>13.671250000000001</v>
      </c>
      <c r="I53" s="143">
        <v>2.6455191676997289</v>
      </c>
      <c r="J53" s="72">
        <f t="shared" si="1"/>
        <v>1.9631249999999998</v>
      </c>
      <c r="K53" s="72">
        <f t="shared" si="2"/>
        <v>2.8052352166546624</v>
      </c>
      <c r="L53" s="72">
        <f t="shared" si="3"/>
        <v>0.49183403879747067</v>
      </c>
      <c r="M53" s="72">
        <f t="shared" si="4"/>
        <v>0.70130880416366559</v>
      </c>
      <c r="N53" s="72">
        <f t="shared" si="5"/>
        <v>2.8052352166546624</v>
      </c>
      <c r="O53" s="72">
        <f t="shared" si="6"/>
        <v>0.69980762694869225</v>
      </c>
      <c r="P53" s="72">
        <f t="shared" si="7"/>
        <v>7.7804084835486245E-2</v>
      </c>
      <c r="Q53" s="72">
        <f t="shared" si="8"/>
        <v>0.27893383594588567</v>
      </c>
      <c r="R53" s="72">
        <f t="shared" si="9"/>
        <v>0.94915254237288138</v>
      </c>
      <c r="S53" s="234">
        <f t="shared" si="10"/>
        <v>0.66422418829028418</v>
      </c>
      <c r="T53" s="234">
        <f t="shared" si="11"/>
        <v>7.0092964677990491E-2</v>
      </c>
      <c r="U53" s="234">
        <f t="shared" si="12"/>
        <v>0.26475075954185756</v>
      </c>
    </row>
    <row r="54" spans="1:21" x14ac:dyDescent="0.2">
      <c r="A54" s="107" t="s">
        <v>92</v>
      </c>
      <c r="B54" s="7" t="s">
        <v>193</v>
      </c>
      <c r="C54" s="213" t="s">
        <v>156</v>
      </c>
      <c r="D54" s="105">
        <v>16</v>
      </c>
      <c r="E54" s="105">
        <f t="shared" si="0"/>
        <v>0.5</v>
      </c>
      <c r="F54" s="142">
        <v>14.374375000000001</v>
      </c>
      <c r="G54" s="142">
        <v>5.7076112560334744</v>
      </c>
      <c r="H54" s="143">
        <v>15.211874999999999</v>
      </c>
      <c r="I54" s="143">
        <v>3.8675698119103159</v>
      </c>
      <c r="J54" s="72">
        <f t="shared" si="1"/>
        <v>0.83749999999999858</v>
      </c>
      <c r="K54" s="72">
        <f t="shared" si="2"/>
        <v>5.0458237690237882</v>
      </c>
      <c r="L54" s="72">
        <f t="shared" si="3"/>
        <v>1.5912710942528392</v>
      </c>
      <c r="M54" s="72">
        <f t="shared" si="4"/>
        <v>1.261455942255947</v>
      </c>
      <c r="N54" s="72">
        <f t="shared" si="5"/>
        <v>5.0458237690237882</v>
      </c>
      <c r="O54" s="72">
        <f t="shared" si="6"/>
        <v>0.16597884475105817</v>
      </c>
      <c r="P54" s="72">
        <f t="shared" si="7"/>
        <v>6.3360905528278E-2</v>
      </c>
      <c r="Q54" s="72">
        <f t="shared" si="8"/>
        <v>0.25171592227802753</v>
      </c>
      <c r="R54" s="72">
        <f t="shared" si="9"/>
        <v>0.94915254237288138</v>
      </c>
      <c r="S54" s="234">
        <f t="shared" si="10"/>
        <v>0.15753924247558065</v>
      </c>
      <c r="T54" s="234">
        <f t="shared" si="11"/>
        <v>5.7081240947049645E-2</v>
      </c>
      <c r="U54" s="234">
        <f t="shared" si="12"/>
        <v>0.23891680758592446</v>
      </c>
    </row>
    <row r="55" spans="1:21" x14ac:dyDescent="0.2">
      <c r="A55" s="107" t="s">
        <v>92</v>
      </c>
      <c r="B55" s="7" t="s">
        <v>193</v>
      </c>
      <c r="C55" s="213" t="s">
        <v>172</v>
      </c>
      <c r="D55" s="105">
        <v>16</v>
      </c>
      <c r="E55" s="105">
        <f t="shared" si="0"/>
        <v>0.5</v>
      </c>
      <c r="F55" s="142">
        <v>14.374375000000001</v>
      </c>
      <c r="G55" s="142">
        <v>5.7076112560334744</v>
      </c>
      <c r="H55" s="143">
        <v>15.183125</v>
      </c>
      <c r="I55" s="143">
        <v>4.1944530334717074</v>
      </c>
      <c r="J55" s="72">
        <f t="shared" si="1"/>
        <v>0.80874999999999986</v>
      </c>
      <c r="K55" s="72">
        <f t="shared" si="2"/>
        <v>5.1215188326563004</v>
      </c>
      <c r="L55" s="72">
        <f t="shared" si="3"/>
        <v>1.6393721970783222</v>
      </c>
      <c r="M55" s="72">
        <f t="shared" si="4"/>
        <v>1.2803797081640751</v>
      </c>
      <c r="N55" s="72">
        <f t="shared" si="5"/>
        <v>5.1215188326563004</v>
      </c>
      <c r="O55" s="72">
        <f t="shared" si="6"/>
        <v>0.1579121402118398</v>
      </c>
      <c r="P55" s="72">
        <f t="shared" si="7"/>
        <v>6.3279257625821372E-2</v>
      </c>
      <c r="Q55" s="72">
        <f t="shared" si="8"/>
        <v>0.25155368736280009</v>
      </c>
      <c r="R55" s="72">
        <f t="shared" si="9"/>
        <v>0.94915254237288138</v>
      </c>
      <c r="S55" s="234">
        <f t="shared" si="10"/>
        <v>0.14988270935361067</v>
      </c>
      <c r="T55" s="234">
        <f t="shared" si="11"/>
        <v>5.7007685123405871E-2</v>
      </c>
      <c r="U55" s="234">
        <f t="shared" si="12"/>
        <v>0.23876282190367468</v>
      </c>
    </row>
    <row r="56" spans="1:21" x14ac:dyDescent="0.2">
      <c r="A56" s="107" t="s">
        <v>92</v>
      </c>
      <c r="B56" s="7" t="s">
        <v>196</v>
      </c>
      <c r="C56" s="213" t="s">
        <v>156</v>
      </c>
      <c r="D56" s="105">
        <v>16</v>
      </c>
      <c r="E56" s="105">
        <f t="shared" si="0"/>
        <v>0.5</v>
      </c>
      <c r="F56" s="142">
        <v>12.433125</v>
      </c>
      <c r="G56" s="142">
        <v>3.88750600213899</v>
      </c>
      <c r="H56" s="143">
        <v>13.4725</v>
      </c>
      <c r="I56" s="143">
        <v>2.895312303246981</v>
      </c>
      <c r="J56" s="72">
        <f t="shared" si="1"/>
        <v>1.0393749999999997</v>
      </c>
      <c r="K56" s="72">
        <f t="shared" si="2"/>
        <v>3.4985700354659914</v>
      </c>
      <c r="L56" s="72">
        <f t="shared" si="3"/>
        <v>0.76499951831628177</v>
      </c>
      <c r="M56" s="72">
        <f t="shared" si="4"/>
        <v>0.87464250886649786</v>
      </c>
      <c r="N56" s="72">
        <f t="shared" si="5"/>
        <v>3.4985700354659914</v>
      </c>
      <c r="O56" s="72">
        <f t="shared" si="6"/>
        <v>0.29708566341778558</v>
      </c>
      <c r="P56" s="72">
        <f t="shared" si="7"/>
        <v>6.5258121606512051E-2</v>
      </c>
      <c r="Q56" s="72">
        <f t="shared" si="8"/>
        <v>0.25545669223277762</v>
      </c>
      <c r="R56" s="72">
        <f t="shared" si="9"/>
        <v>0.94915254237288138</v>
      </c>
      <c r="S56" s="234">
        <f t="shared" si="10"/>
        <v>0.2819796127355253</v>
      </c>
      <c r="T56" s="234">
        <f t="shared" si="11"/>
        <v>5.8790424980758919E-2</v>
      </c>
      <c r="U56" s="234">
        <f t="shared" si="12"/>
        <v>0.24246736889890755</v>
      </c>
    </row>
    <row r="57" spans="1:21" x14ac:dyDescent="0.2">
      <c r="A57" s="107" t="s">
        <v>92</v>
      </c>
      <c r="B57" s="7" t="s">
        <v>196</v>
      </c>
      <c r="C57" s="213" t="s">
        <v>172</v>
      </c>
      <c r="D57" s="105">
        <v>16</v>
      </c>
      <c r="E57" s="105">
        <f t="shared" si="0"/>
        <v>0.5</v>
      </c>
      <c r="F57" s="142">
        <v>12.433125</v>
      </c>
      <c r="G57" s="142">
        <v>3.88750600213899</v>
      </c>
      <c r="H57" s="143">
        <v>13.480625</v>
      </c>
      <c r="I57" s="143">
        <v>2.992767879962182</v>
      </c>
      <c r="J57" s="72">
        <f t="shared" si="1"/>
        <v>1.0474999999999994</v>
      </c>
      <c r="K57" s="72">
        <f t="shared" si="2"/>
        <v>3.5263237803182856</v>
      </c>
      <c r="L57" s="72">
        <f t="shared" si="3"/>
        <v>0.77718496272739035</v>
      </c>
      <c r="M57" s="72">
        <f t="shared" si="4"/>
        <v>0.88158094507957141</v>
      </c>
      <c r="N57" s="72">
        <f t="shared" si="5"/>
        <v>3.5263237803182856</v>
      </c>
      <c r="O57" s="72">
        <f t="shared" si="6"/>
        <v>0.29705156566917751</v>
      </c>
      <c r="P57" s="72">
        <f t="shared" si="7"/>
        <v>6.5257488520828424E-2</v>
      </c>
      <c r="Q57" s="72">
        <f t="shared" si="8"/>
        <v>0.2554554531045059</v>
      </c>
      <c r="R57" s="72">
        <f t="shared" si="9"/>
        <v>0.94915254237288138</v>
      </c>
      <c r="S57" s="234">
        <f t="shared" si="10"/>
        <v>0.28194724877074478</v>
      </c>
      <c r="T57" s="234">
        <f t="shared" si="11"/>
        <v>5.878985463985003E-2</v>
      </c>
      <c r="U57" s="234">
        <f t="shared" si="12"/>
        <v>0.24246619277715817</v>
      </c>
    </row>
    <row r="58" spans="1:21" x14ac:dyDescent="0.2">
      <c r="A58" s="107" t="s">
        <v>92</v>
      </c>
      <c r="B58" s="7" t="s">
        <v>26</v>
      </c>
      <c r="C58" s="213" t="s">
        <v>156</v>
      </c>
      <c r="D58" s="105">
        <v>3</v>
      </c>
      <c r="E58" s="105">
        <f t="shared" si="0"/>
        <v>0.5</v>
      </c>
      <c r="F58" s="142">
        <v>2.5674999999999999</v>
      </c>
      <c r="G58" s="142">
        <v>0.30479957891828618</v>
      </c>
      <c r="H58" s="143">
        <v>0.83250000000000002</v>
      </c>
      <c r="I58" s="143">
        <v>9.776590267190316E-2</v>
      </c>
      <c r="J58" s="72">
        <f t="shared" si="1"/>
        <v>-1.7349999999999999</v>
      </c>
      <c r="K58" s="72">
        <f t="shared" si="2"/>
        <v>0.26955880446955238</v>
      </c>
      <c r="L58" s="72">
        <f t="shared" si="3"/>
        <v>2.4220649689018128E-2</v>
      </c>
      <c r="M58" s="72">
        <f t="shared" si="4"/>
        <v>0.15562984832292978</v>
      </c>
      <c r="N58" s="72">
        <f t="shared" si="5"/>
        <v>0.26955880446955238</v>
      </c>
      <c r="O58" s="72">
        <f t="shared" si="6"/>
        <v>-6.436443444739993</v>
      </c>
      <c r="P58" s="72">
        <f t="shared" si="7"/>
        <v>7.2379673695560713</v>
      </c>
      <c r="Q58" s="72">
        <f t="shared" si="8"/>
        <v>2.6903470723228389</v>
      </c>
      <c r="R58" s="72">
        <f t="shared" si="9"/>
        <v>0.5714285714285714</v>
      </c>
      <c r="S58" s="234">
        <f t="shared" si="10"/>
        <v>-3.6779676827085672</v>
      </c>
      <c r="T58" s="234">
        <f t="shared" si="11"/>
        <v>2.3634179165897375</v>
      </c>
      <c r="U58" s="234">
        <f t="shared" si="12"/>
        <v>1.5373411841844795</v>
      </c>
    </row>
    <row r="59" spans="1:21" x14ac:dyDescent="0.2">
      <c r="A59" s="107" t="s">
        <v>92</v>
      </c>
      <c r="B59" s="7" t="s">
        <v>26</v>
      </c>
      <c r="C59" s="213" t="s">
        <v>172</v>
      </c>
      <c r="D59" s="105">
        <v>3</v>
      </c>
      <c r="E59" s="105">
        <f t="shared" si="0"/>
        <v>0.5</v>
      </c>
      <c r="F59" s="142">
        <v>2.5674999999999999</v>
      </c>
      <c r="G59" s="142">
        <v>0.30479957891828618</v>
      </c>
      <c r="H59" s="143">
        <v>0.59</v>
      </c>
      <c r="I59" s="143">
        <v>6.9011225415461036E-2</v>
      </c>
      <c r="J59" s="72">
        <f t="shared" si="1"/>
        <v>-1.9775</v>
      </c>
      <c r="K59" s="72">
        <f t="shared" si="2"/>
        <v>0.27682257873020527</v>
      </c>
      <c r="L59" s="72">
        <f t="shared" si="3"/>
        <v>2.5543580031613566E-2</v>
      </c>
      <c r="M59" s="72">
        <f t="shared" si="4"/>
        <v>0.1598235903476504</v>
      </c>
      <c r="N59" s="72">
        <f t="shared" si="5"/>
        <v>0.27682257873020527</v>
      </c>
      <c r="O59" s="72">
        <f t="shared" si="6"/>
        <v>-7.143564694292138</v>
      </c>
      <c r="P59" s="72">
        <f t="shared" si="7"/>
        <v>8.8384194235895208</v>
      </c>
      <c r="Q59" s="72">
        <f t="shared" si="8"/>
        <v>2.9729479348938352</v>
      </c>
      <c r="R59" s="72">
        <f t="shared" si="9"/>
        <v>0.5714285714285714</v>
      </c>
      <c r="S59" s="234">
        <f t="shared" si="10"/>
        <v>-4.0820369681669355</v>
      </c>
      <c r="T59" s="234">
        <f t="shared" si="11"/>
        <v>2.8860145056618842</v>
      </c>
      <c r="U59" s="234">
        <f t="shared" si="12"/>
        <v>1.6988273913679059</v>
      </c>
    </row>
    <row r="60" spans="1:21" x14ac:dyDescent="0.2">
      <c r="A60" s="107" t="s">
        <v>92</v>
      </c>
      <c r="B60" s="7" t="s">
        <v>197</v>
      </c>
      <c r="C60" s="213" t="s">
        <v>156</v>
      </c>
      <c r="D60" s="105">
        <v>7</v>
      </c>
      <c r="E60" s="105">
        <f t="shared" si="0"/>
        <v>0.5</v>
      </c>
      <c r="F60" s="142">
        <v>0.05</v>
      </c>
      <c r="G60" s="142">
        <v>5.2915026221291822E-2</v>
      </c>
      <c r="H60" s="143">
        <v>0.06</v>
      </c>
      <c r="I60" s="143">
        <v>7.9372539331937719E-2</v>
      </c>
      <c r="J60" s="72">
        <f t="shared" si="1"/>
        <v>9.999999999999995E-3</v>
      </c>
      <c r="K60" s="72">
        <f t="shared" si="2"/>
        <v>6.9999999999999993E-2</v>
      </c>
      <c r="L60" s="72">
        <f t="shared" si="3"/>
        <v>6.9999999999999988E-4</v>
      </c>
      <c r="M60" s="72">
        <f t="shared" si="4"/>
        <v>2.6457513110645904E-2</v>
      </c>
      <c r="N60" s="72">
        <f t="shared" si="5"/>
        <v>6.9999999999999993E-2</v>
      </c>
      <c r="O60" s="72">
        <f t="shared" si="6"/>
        <v>0.14285714285714279</v>
      </c>
      <c r="P60" s="72">
        <f t="shared" si="7"/>
        <v>0.14431486880466471</v>
      </c>
      <c r="Q60" s="72">
        <f t="shared" si="8"/>
        <v>0.37988796875482211</v>
      </c>
      <c r="R60" s="72">
        <f t="shared" si="9"/>
        <v>0.86956521739130432</v>
      </c>
      <c r="S60" s="234">
        <f t="shared" si="10"/>
        <v>0.12422360248447199</v>
      </c>
      <c r="T60" s="234">
        <f t="shared" si="11"/>
        <v>0.10912277414341377</v>
      </c>
      <c r="U60" s="234">
        <f t="shared" si="12"/>
        <v>0.33033736413462794</v>
      </c>
    </row>
    <row r="61" spans="1:21" x14ac:dyDescent="0.2">
      <c r="A61" s="214" t="s">
        <v>92</v>
      </c>
      <c r="B61" s="208" t="s">
        <v>197</v>
      </c>
      <c r="C61" s="213" t="s">
        <v>171</v>
      </c>
      <c r="D61" s="209">
        <v>7</v>
      </c>
      <c r="E61" s="209">
        <f t="shared" si="0"/>
        <v>0.5</v>
      </c>
      <c r="F61" s="210">
        <v>0.05</v>
      </c>
      <c r="G61" s="210">
        <v>5.2915026221291822E-2</v>
      </c>
      <c r="H61" s="211">
        <v>0.05</v>
      </c>
      <c r="I61" s="211">
        <v>5.2915026221291822E-2</v>
      </c>
      <c r="J61" s="212">
        <f t="shared" si="1"/>
        <v>0</v>
      </c>
      <c r="K61" s="212">
        <f t="shared" si="2"/>
        <v>5.2915026221291822E-2</v>
      </c>
      <c r="L61" s="212">
        <f t="shared" si="3"/>
        <v>4.0000000000000018E-4</v>
      </c>
      <c r="M61" s="212">
        <f t="shared" si="4"/>
        <v>2.0000000000000004E-2</v>
      </c>
      <c r="N61" s="212">
        <f t="shared" si="5"/>
        <v>5.2915026221291822E-2</v>
      </c>
      <c r="O61" s="212">
        <f t="shared" si="6"/>
        <v>0</v>
      </c>
      <c r="P61" s="212">
        <f t="shared" si="7"/>
        <v>0.14285714285714285</v>
      </c>
      <c r="Q61" s="212">
        <f t="shared" si="8"/>
        <v>0.3779644730092272</v>
      </c>
      <c r="R61" s="212">
        <f t="shared" si="9"/>
        <v>0.86956521739130432</v>
      </c>
      <c r="S61" s="235">
        <f t="shared" si="10"/>
        <v>0</v>
      </c>
      <c r="T61" s="235">
        <f t="shared" si="11"/>
        <v>0.10802052389954091</v>
      </c>
      <c r="U61" s="235">
        <f t="shared" si="12"/>
        <v>0.32866475913845844</v>
      </c>
    </row>
    <row r="62" spans="1:21" x14ac:dyDescent="0.2">
      <c r="A62" s="107" t="s">
        <v>92</v>
      </c>
      <c r="B62" s="50" t="s">
        <v>198</v>
      </c>
      <c r="C62" s="213" t="s">
        <v>156</v>
      </c>
      <c r="D62" s="105">
        <v>7</v>
      </c>
      <c r="E62" s="105">
        <f t="shared" si="0"/>
        <v>0.5</v>
      </c>
      <c r="F62" s="216">
        <v>0.05</v>
      </c>
      <c r="G62" s="216">
        <v>5.2915026221291822E-2</v>
      </c>
      <c r="H62" s="217">
        <v>0.05</v>
      </c>
      <c r="I62" s="217">
        <v>5.2915026221291822E-2</v>
      </c>
      <c r="J62" s="72">
        <f t="shared" ref="J62:J103" si="13">H62-F62</f>
        <v>0</v>
      </c>
      <c r="K62" s="72">
        <f t="shared" ref="K62:K103" si="14">SQRT((G62^2)+(I62^2)-2*E62*G62*I62)</f>
        <v>5.2915026221291822E-2</v>
      </c>
      <c r="L62" s="72">
        <f t="shared" ref="L62:L103" si="15">(K62^2)/D62</f>
        <v>4.0000000000000018E-4</v>
      </c>
      <c r="M62" s="72">
        <f t="shared" ref="M62:M103" si="16">SQRT(L62)</f>
        <v>2.0000000000000004E-2</v>
      </c>
      <c r="N62" s="72">
        <f t="shared" ref="N62:N103" si="17">K62/SQRT(2*(1-E62))</f>
        <v>5.2915026221291822E-2</v>
      </c>
      <c r="O62" s="72">
        <f t="shared" ref="O62:O103" si="18">J62/N62</f>
        <v>0</v>
      </c>
      <c r="P62" s="72">
        <f t="shared" ref="P62:P103" si="19">((1/D62)+(O62^2)/(2*D62))*2*(1-E62)</f>
        <v>0.14285714285714285</v>
      </c>
      <c r="Q62" s="72">
        <f t="shared" ref="Q62:Q103" si="20">SQRT(P62)</f>
        <v>0.3779644730092272</v>
      </c>
      <c r="R62" s="72">
        <f t="shared" ref="R62:R103" si="21">1-(3/(4*(D62-1)-1))</f>
        <v>0.86956521739130432</v>
      </c>
      <c r="S62" s="234">
        <f t="shared" ref="S62:S103" si="22">R62*O62</f>
        <v>0</v>
      </c>
      <c r="T62" s="234">
        <f t="shared" ref="T62:T103" si="23">R62^2*P62</f>
        <v>0.10802052389954091</v>
      </c>
      <c r="U62" s="234">
        <f t="shared" ref="U62:U103" si="24">SQRT(T62)</f>
        <v>0.32866475913845844</v>
      </c>
    </row>
    <row r="63" spans="1:21" x14ac:dyDescent="0.2">
      <c r="A63" s="107" t="s">
        <v>92</v>
      </c>
      <c r="B63" s="50" t="s">
        <v>198</v>
      </c>
      <c r="C63" s="213" t="s">
        <v>171</v>
      </c>
      <c r="D63" s="105">
        <v>7</v>
      </c>
      <c r="E63" s="105">
        <f t="shared" si="0"/>
        <v>0.5</v>
      </c>
      <c r="F63" s="216">
        <v>0.05</v>
      </c>
      <c r="G63" s="216">
        <v>5.2915026221291822E-2</v>
      </c>
      <c r="H63" s="217">
        <v>0.05</v>
      </c>
      <c r="I63" s="217">
        <v>2.6457513110645911E-2</v>
      </c>
      <c r="J63" s="72">
        <f t="shared" si="13"/>
        <v>0</v>
      </c>
      <c r="K63" s="72">
        <f t="shared" si="14"/>
        <v>4.5825756949558406E-2</v>
      </c>
      <c r="L63" s="72">
        <f t="shared" si="15"/>
        <v>3.0000000000000008E-4</v>
      </c>
      <c r="M63" s="72">
        <f t="shared" si="16"/>
        <v>1.7320508075688777E-2</v>
      </c>
      <c r="N63" s="72">
        <f t="shared" si="17"/>
        <v>4.5825756949558406E-2</v>
      </c>
      <c r="O63" s="72">
        <f t="shared" si="18"/>
        <v>0</v>
      </c>
      <c r="P63" s="72">
        <f t="shared" si="19"/>
        <v>0.14285714285714285</v>
      </c>
      <c r="Q63" s="72">
        <f t="shared" si="20"/>
        <v>0.3779644730092272</v>
      </c>
      <c r="R63" s="72">
        <f t="shared" si="21"/>
        <v>0.86956521739130432</v>
      </c>
      <c r="S63" s="234">
        <f t="shared" si="22"/>
        <v>0</v>
      </c>
      <c r="T63" s="234">
        <f t="shared" si="23"/>
        <v>0.10802052389954091</v>
      </c>
      <c r="U63" s="234">
        <f t="shared" si="24"/>
        <v>0.32866475913845844</v>
      </c>
    </row>
    <row r="64" spans="1:21" x14ac:dyDescent="0.2">
      <c r="A64" s="107" t="s">
        <v>92</v>
      </c>
      <c r="B64" s="50" t="s">
        <v>199</v>
      </c>
      <c r="C64" s="213" t="s">
        <v>156</v>
      </c>
      <c r="D64" s="105">
        <v>7</v>
      </c>
      <c r="E64" s="105">
        <f t="shared" si="0"/>
        <v>0.5</v>
      </c>
      <c r="F64" s="216">
        <v>0.03</v>
      </c>
      <c r="G64" s="216">
        <v>2.6457513110645911E-2</v>
      </c>
      <c r="H64" s="217">
        <v>0.04</v>
      </c>
      <c r="I64" s="217">
        <v>2.6457513110645911E-2</v>
      </c>
      <c r="J64" s="72">
        <f t="shared" si="13"/>
        <v>1.0000000000000002E-2</v>
      </c>
      <c r="K64" s="72">
        <f t="shared" si="14"/>
        <v>2.6457513110645911E-2</v>
      </c>
      <c r="L64" s="72">
        <f t="shared" si="15"/>
        <v>1.0000000000000005E-4</v>
      </c>
      <c r="M64" s="72">
        <f t="shared" si="16"/>
        <v>1.0000000000000002E-2</v>
      </c>
      <c r="N64" s="72">
        <f t="shared" si="17"/>
        <v>2.6457513110645911E-2</v>
      </c>
      <c r="O64" s="72">
        <f t="shared" si="18"/>
        <v>0.37796447300922725</v>
      </c>
      <c r="P64" s="72">
        <f t="shared" si="19"/>
        <v>0.15306122448979592</v>
      </c>
      <c r="Q64" s="72">
        <f t="shared" si="20"/>
        <v>0.39123039821797578</v>
      </c>
      <c r="R64" s="72">
        <f t="shared" si="21"/>
        <v>0.86956521739130432</v>
      </c>
      <c r="S64" s="234">
        <f t="shared" si="22"/>
        <v>0.3286647591384585</v>
      </c>
      <c r="T64" s="234">
        <f t="shared" si="23"/>
        <v>0.11573627560665098</v>
      </c>
      <c r="U64" s="234">
        <f t="shared" si="24"/>
        <v>0.3402003462765007</v>
      </c>
    </row>
    <row r="65" spans="1:21" x14ac:dyDescent="0.2">
      <c r="A65" s="107" t="s">
        <v>92</v>
      </c>
      <c r="B65" s="50" t="s">
        <v>199</v>
      </c>
      <c r="C65" s="213" t="s">
        <v>171</v>
      </c>
      <c r="D65" s="105">
        <v>7</v>
      </c>
      <c r="E65" s="105">
        <f t="shared" si="0"/>
        <v>0.5</v>
      </c>
      <c r="F65" s="216">
        <v>0.03</v>
      </c>
      <c r="G65" s="216">
        <v>2.6457513110645911E-2</v>
      </c>
      <c r="H65" s="217">
        <v>0.04</v>
      </c>
      <c r="I65" s="217">
        <v>2.6457513110645911E-2</v>
      </c>
      <c r="J65" s="72">
        <f t="shared" si="13"/>
        <v>1.0000000000000002E-2</v>
      </c>
      <c r="K65" s="72">
        <f t="shared" si="14"/>
        <v>2.6457513110645911E-2</v>
      </c>
      <c r="L65" s="72">
        <f t="shared" si="15"/>
        <v>1.0000000000000005E-4</v>
      </c>
      <c r="M65" s="72">
        <f t="shared" si="16"/>
        <v>1.0000000000000002E-2</v>
      </c>
      <c r="N65" s="72">
        <f t="shared" si="17"/>
        <v>2.6457513110645911E-2</v>
      </c>
      <c r="O65" s="72">
        <f t="shared" si="18"/>
        <v>0.37796447300922725</v>
      </c>
      <c r="P65" s="72">
        <f t="shared" si="19"/>
        <v>0.15306122448979592</v>
      </c>
      <c r="Q65" s="72">
        <f t="shared" si="20"/>
        <v>0.39123039821797578</v>
      </c>
      <c r="R65" s="72">
        <f t="shared" si="21"/>
        <v>0.86956521739130432</v>
      </c>
      <c r="S65" s="234">
        <f t="shared" si="22"/>
        <v>0.3286647591384585</v>
      </c>
      <c r="T65" s="234">
        <f t="shared" si="23"/>
        <v>0.11573627560665098</v>
      </c>
      <c r="U65" s="234">
        <f t="shared" si="24"/>
        <v>0.3402003462765007</v>
      </c>
    </row>
    <row r="66" spans="1:21" x14ac:dyDescent="0.2">
      <c r="A66" s="107" t="s">
        <v>92</v>
      </c>
      <c r="B66" s="50" t="s">
        <v>42</v>
      </c>
      <c r="C66" s="213" t="s">
        <v>156</v>
      </c>
      <c r="D66" s="105">
        <v>9</v>
      </c>
      <c r="E66" s="105">
        <f t="shared" si="0"/>
        <v>0.5</v>
      </c>
      <c r="F66" s="216">
        <v>1.406666666666667</v>
      </c>
      <c r="G66" s="216">
        <v>0.41109967357747079</v>
      </c>
      <c r="H66" s="217">
        <v>1.476666666666667</v>
      </c>
      <c r="I66" s="217">
        <v>0.46358048297033949</v>
      </c>
      <c r="J66" s="72">
        <f t="shared" si="13"/>
        <v>7.0000000000000062E-2</v>
      </c>
      <c r="K66" s="72">
        <f t="shared" si="14"/>
        <v>0.43969537248022456</v>
      </c>
      <c r="L66" s="72">
        <f t="shared" si="15"/>
        <v>2.1481335620058155E-2</v>
      </c>
      <c r="M66" s="72">
        <f t="shared" si="16"/>
        <v>0.14656512416007483</v>
      </c>
      <c r="N66" s="72">
        <f t="shared" si="17"/>
        <v>0.43969537248022456</v>
      </c>
      <c r="O66" s="72">
        <f t="shared" si="18"/>
        <v>0.15920112964834157</v>
      </c>
      <c r="P66" s="72">
        <f t="shared" si="19"/>
        <v>0.11251916664896155</v>
      </c>
      <c r="Q66" s="72">
        <f t="shared" si="20"/>
        <v>0.33543876736143896</v>
      </c>
      <c r="R66" s="72">
        <f t="shared" si="21"/>
        <v>0.90322580645161288</v>
      </c>
      <c r="S66" s="234">
        <f t="shared" si="22"/>
        <v>0.14379456871463109</v>
      </c>
      <c r="T66" s="234">
        <f t="shared" si="23"/>
        <v>9.1795032937342202E-2</v>
      </c>
      <c r="U66" s="234">
        <f t="shared" si="24"/>
        <v>0.30297695116517065</v>
      </c>
    </row>
    <row r="67" spans="1:21" x14ac:dyDescent="0.2">
      <c r="A67" s="107" t="s">
        <v>92</v>
      </c>
      <c r="B67" s="50" t="s">
        <v>42</v>
      </c>
      <c r="C67" s="213" t="s">
        <v>171</v>
      </c>
      <c r="D67" s="105">
        <v>9</v>
      </c>
      <c r="E67" s="105">
        <f t="shared" ref="E67:E103" si="25">$X$3</f>
        <v>0.5</v>
      </c>
      <c r="F67" s="216">
        <v>1.406666666666667</v>
      </c>
      <c r="G67" s="216">
        <v>0.41109967357747079</v>
      </c>
      <c r="H67" s="217">
        <v>1.43</v>
      </c>
      <c r="I67" s="217">
        <v>0.97089497376806955</v>
      </c>
      <c r="J67" s="72">
        <f t="shared" si="13"/>
        <v>2.3333333333332984E-2</v>
      </c>
      <c r="K67" s="72">
        <f t="shared" si="14"/>
        <v>0.84410034054580452</v>
      </c>
      <c r="L67" s="72">
        <f t="shared" si="15"/>
        <v>7.9167264989949249E-2</v>
      </c>
      <c r="M67" s="72">
        <f t="shared" si="16"/>
        <v>0.28136678018193484</v>
      </c>
      <c r="N67" s="72">
        <f t="shared" si="17"/>
        <v>0.84410034054580452</v>
      </c>
      <c r="O67" s="72">
        <f t="shared" si="18"/>
        <v>2.7642843169859873E-2</v>
      </c>
      <c r="P67" s="72">
        <f t="shared" si="19"/>
        <v>0.11115356259880629</v>
      </c>
      <c r="Q67" s="72">
        <f t="shared" si="20"/>
        <v>0.33339700448385301</v>
      </c>
      <c r="R67" s="72">
        <f t="shared" si="21"/>
        <v>0.90322580645161288</v>
      </c>
      <c r="S67" s="234">
        <f t="shared" si="22"/>
        <v>2.4967729314712143E-2</v>
      </c>
      <c r="T67" s="234">
        <f t="shared" si="23"/>
        <v>9.0680950132636967E-2</v>
      </c>
      <c r="U67" s="234">
        <f t="shared" si="24"/>
        <v>0.30113277824348011</v>
      </c>
    </row>
    <row r="68" spans="1:21" x14ac:dyDescent="0.2">
      <c r="A68" s="107" t="s">
        <v>92</v>
      </c>
      <c r="B68" s="50" t="s">
        <v>42</v>
      </c>
      <c r="C68" s="213" t="s">
        <v>172</v>
      </c>
      <c r="D68" s="105">
        <v>9</v>
      </c>
      <c r="E68" s="105">
        <f t="shared" si="25"/>
        <v>0.5</v>
      </c>
      <c r="F68" s="216">
        <v>1.406666666666667</v>
      </c>
      <c r="G68" s="216">
        <v>0.41109967357747079</v>
      </c>
      <c r="H68" s="217">
        <v>1.786666666666666</v>
      </c>
      <c r="I68" s="217">
        <v>1.2945266316907591</v>
      </c>
      <c r="J68" s="72">
        <f t="shared" si="13"/>
        <v>0.37999999999999901</v>
      </c>
      <c r="K68" s="72">
        <f t="shared" si="14"/>
        <v>1.1456974583399893</v>
      </c>
      <c r="L68" s="72">
        <f t="shared" si="15"/>
        <v>0.14584696289407906</v>
      </c>
      <c r="M68" s="72">
        <f t="shared" si="16"/>
        <v>0.38189915277999642</v>
      </c>
      <c r="N68" s="72">
        <f t="shared" si="17"/>
        <v>1.1456974583399893</v>
      </c>
      <c r="O68" s="72">
        <f t="shared" si="18"/>
        <v>0.33167569434131783</v>
      </c>
      <c r="P68" s="72">
        <f t="shared" si="19"/>
        <v>0.11722270923426639</v>
      </c>
      <c r="Q68" s="72">
        <f t="shared" si="20"/>
        <v>0.34237802095675823</v>
      </c>
      <c r="R68" s="72">
        <f t="shared" si="21"/>
        <v>0.90322580645161288</v>
      </c>
      <c r="S68" s="234">
        <f t="shared" si="22"/>
        <v>0.29957804650183545</v>
      </c>
      <c r="T68" s="234">
        <f t="shared" si="23"/>
        <v>9.563226226812159E-2</v>
      </c>
      <c r="U68" s="234">
        <f t="shared" si="24"/>
        <v>0.3092446640899752</v>
      </c>
    </row>
    <row r="69" spans="1:21" x14ac:dyDescent="0.2">
      <c r="A69" s="107" t="s">
        <v>92</v>
      </c>
      <c r="B69" s="50" t="s">
        <v>47</v>
      </c>
      <c r="C69" s="213" t="s">
        <v>156</v>
      </c>
      <c r="D69" s="105">
        <v>18</v>
      </c>
      <c r="E69" s="105">
        <f t="shared" si="25"/>
        <v>0.5</v>
      </c>
      <c r="F69" s="216">
        <v>651</v>
      </c>
      <c r="G69" s="216">
        <v>143</v>
      </c>
      <c r="H69" s="217">
        <v>808</v>
      </c>
      <c r="I69" s="217">
        <v>194</v>
      </c>
      <c r="J69" s="72">
        <f t="shared" si="13"/>
        <v>157</v>
      </c>
      <c r="K69" s="72">
        <f t="shared" si="14"/>
        <v>174.19242233805696</v>
      </c>
      <c r="L69" s="72">
        <f t="shared" si="15"/>
        <v>1685.7222222222224</v>
      </c>
      <c r="M69" s="72">
        <f t="shared" si="16"/>
        <v>41.05754768885037</v>
      </c>
      <c r="N69" s="72">
        <f t="shared" si="17"/>
        <v>174.19242233805696</v>
      </c>
      <c r="O69" s="72">
        <f t="shared" si="18"/>
        <v>0.90130212263371912</v>
      </c>
      <c r="P69" s="72">
        <f t="shared" si="19"/>
        <v>7.812070878511243E-2</v>
      </c>
      <c r="Q69" s="72">
        <f t="shared" si="20"/>
        <v>0.27950082072350418</v>
      </c>
      <c r="R69" s="72">
        <f t="shared" si="21"/>
        <v>0.95522388059701491</v>
      </c>
      <c r="S69" s="234">
        <f t="shared" si="22"/>
        <v>0.86094531117250783</v>
      </c>
      <c r="T69" s="234">
        <f t="shared" si="23"/>
        <v>7.1281448693210181E-2</v>
      </c>
      <c r="U69" s="234">
        <f t="shared" si="24"/>
        <v>0.26698585860155621</v>
      </c>
    </row>
    <row r="70" spans="1:21" x14ac:dyDescent="0.2">
      <c r="A70" s="215" t="s">
        <v>93</v>
      </c>
      <c r="B70" s="50" t="s">
        <v>200</v>
      </c>
      <c r="C70" s="213" t="s">
        <v>156</v>
      </c>
      <c r="D70" s="105">
        <v>16</v>
      </c>
      <c r="E70" s="105">
        <f t="shared" si="25"/>
        <v>0.5</v>
      </c>
      <c r="F70" s="216">
        <v>0.625</v>
      </c>
      <c r="G70" s="216">
        <v>0.109375</v>
      </c>
      <c r="H70" s="217">
        <v>0.6</v>
      </c>
      <c r="I70" s="217">
        <v>0.1113552872566004</v>
      </c>
      <c r="J70" s="72">
        <f t="shared" si="13"/>
        <v>-2.5000000000000022E-2</v>
      </c>
      <c r="K70" s="72">
        <f t="shared" si="14"/>
        <v>0.11037846747128412</v>
      </c>
      <c r="L70" s="72">
        <f t="shared" si="15"/>
        <v>7.614628800818329E-4</v>
      </c>
      <c r="M70" s="72">
        <f t="shared" si="16"/>
        <v>2.7594616867821029E-2</v>
      </c>
      <c r="N70" s="72">
        <f t="shared" si="17"/>
        <v>0.11037846747128412</v>
      </c>
      <c r="O70" s="72">
        <f t="shared" si="18"/>
        <v>-0.22649345087622258</v>
      </c>
      <c r="P70" s="72">
        <f t="shared" si="19"/>
        <v>6.4103102602806869E-2</v>
      </c>
      <c r="Q70" s="72">
        <f t="shared" si="20"/>
        <v>0.25318590522145357</v>
      </c>
      <c r="R70" s="72">
        <f t="shared" si="21"/>
        <v>0.94915254237288138</v>
      </c>
      <c r="S70" s="234">
        <f t="shared" si="22"/>
        <v>-0.21497683472997398</v>
      </c>
      <c r="T70" s="234">
        <f t="shared" si="23"/>
        <v>5.774987927676023E-2</v>
      </c>
      <c r="U70" s="234">
        <f t="shared" si="24"/>
        <v>0.24031204563392203</v>
      </c>
    </row>
    <row r="71" spans="1:21" x14ac:dyDescent="0.2">
      <c r="A71" s="215" t="s">
        <v>93</v>
      </c>
      <c r="B71" s="50" t="s">
        <v>201</v>
      </c>
      <c r="C71" s="213" t="s">
        <v>156</v>
      </c>
      <c r="D71" s="105">
        <v>10</v>
      </c>
      <c r="E71" s="105">
        <f t="shared" si="25"/>
        <v>0.5</v>
      </c>
      <c r="F71" s="216">
        <v>0.6</v>
      </c>
      <c r="G71" s="216">
        <v>0.1743559577416269</v>
      </c>
      <c r="H71" s="217">
        <v>0.85714285714285698</v>
      </c>
      <c r="I71" s="217">
        <v>0.24827602164482529</v>
      </c>
      <c r="J71" s="72">
        <f t="shared" si="13"/>
        <v>0.25714285714285701</v>
      </c>
      <c r="K71" s="72">
        <f t="shared" si="14"/>
        <v>0.22079986273912702</v>
      </c>
      <c r="L71" s="72">
        <f t="shared" si="15"/>
        <v>4.8752579385617336E-3</v>
      </c>
      <c r="M71" s="72">
        <f t="shared" si="16"/>
        <v>6.9823047330818594E-2</v>
      </c>
      <c r="N71" s="72">
        <f t="shared" si="17"/>
        <v>0.22079986273912702</v>
      </c>
      <c r="O71" s="72">
        <f t="shared" si="18"/>
        <v>1.1645969972665648</v>
      </c>
      <c r="P71" s="72">
        <f t="shared" si="19"/>
        <v>0.16781430830211497</v>
      </c>
      <c r="Q71" s="72">
        <f t="shared" si="20"/>
        <v>0.40965144733311387</v>
      </c>
      <c r="R71" s="72">
        <f t="shared" si="21"/>
        <v>0.91428571428571426</v>
      </c>
      <c r="S71" s="234">
        <f t="shared" si="22"/>
        <v>1.0647743975008592</v>
      </c>
      <c r="T71" s="234">
        <f t="shared" si="23"/>
        <v>0.14027906261335976</v>
      </c>
      <c r="U71" s="234">
        <f t="shared" si="24"/>
        <v>0.37453846613313269</v>
      </c>
    </row>
    <row r="72" spans="1:21" x14ac:dyDescent="0.2">
      <c r="A72" s="215" t="s">
        <v>93</v>
      </c>
      <c r="B72" s="50" t="s">
        <v>12</v>
      </c>
      <c r="C72" s="213" t="s">
        <v>156</v>
      </c>
      <c r="D72" s="105">
        <v>7</v>
      </c>
      <c r="E72" s="105">
        <f t="shared" si="25"/>
        <v>0.5</v>
      </c>
      <c r="F72" s="216">
        <v>2.8466666666666671</v>
      </c>
      <c r="G72" s="216">
        <v>2.0116070094226282</v>
      </c>
      <c r="H72" s="217">
        <v>4.4666666666666668</v>
      </c>
      <c r="I72" s="217">
        <v>4.6661934282497484</v>
      </c>
      <c r="J72" s="72">
        <f t="shared" si="13"/>
        <v>1.6199999999999997</v>
      </c>
      <c r="K72" s="72">
        <f t="shared" si="14"/>
        <v>4.0538101167433078</v>
      </c>
      <c r="L72" s="72">
        <f t="shared" si="15"/>
        <v>2.3476252089443412</v>
      </c>
      <c r="M72" s="72">
        <f t="shared" si="16"/>
        <v>1.5321962044543582</v>
      </c>
      <c r="N72" s="72">
        <f t="shared" si="17"/>
        <v>4.0538101167433078</v>
      </c>
      <c r="O72" s="72">
        <f t="shared" si="18"/>
        <v>0.39962404585971384</v>
      </c>
      <c r="P72" s="72">
        <f t="shared" si="19"/>
        <v>0.15426424128780619</v>
      </c>
      <c r="Q72" s="72">
        <f t="shared" si="20"/>
        <v>0.39276486768524266</v>
      </c>
      <c r="R72" s="72">
        <f t="shared" si="21"/>
        <v>0.86956521739130432</v>
      </c>
      <c r="S72" s="234">
        <f t="shared" si="22"/>
        <v>0.34749917031279465</v>
      </c>
      <c r="T72" s="234">
        <f t="shared" si="23"/>
        <v>0.11664592914011811</v>
      </c>
      <c r="U72" s="234">
        <f t="shared" si="24"/>
        <v>0.34153466755238493</v>
      </c>
    </row>
    <row r="73" spans="1:21" x14ac:dyDescent="0.2">
      <c r="A73" s="215" t="s">
        <v>93</v>
      </c>
      <c r="B73" s="50" t="s">
        <v>12</v>
      </c>
      <c r="C73" s="213" t="s">
        <v>171</v>
      </c>
      <c r="D73" s="105">
        <v>7</v>
      </c>
      <c r="E73" s="105">
        <f t="shared" si="25"/>
        <v>0.5</v>
      </c>
      <c r="F73" s="216">
        <v>2.8466666666666671</v>
      </c>
      <c r="G73" s="216">
        <v>2.0116070094226282</v>
      </c>
      <c r="H73" s="217">
        <v>1.4733333333333329</v>
      </c>
      <c r="I73" s="217">
        <v>0.76238987115104151</v>
      </c>
      <c r="J73" s="72">
        <f t="shared" si="13"/>
        <v>-1.3733333333333342</v>
      </c>
      <c r="K73" s="72">
        <f t="shared" si="14"/>
        <v>1.759025942751187</v>
      </c>
      <c r="L73" s="72">
        <f t="shared" si="15"/>
        <v>0.44202460961024315</v>
      </c>
      <c r="M73" s="72">
        <f t="shared" si="16"/>
        <v>0.66484931346151144</v>
      </c>
      <c r="N73" s="72">
        <f t="shared" si="17"/>
        <v>1.759025942751187</v>
      </c>
      <c r="O73" s="72">
        <f t="shared" si="18"/>
        <v>-0.78073512161246805</v>
      </c>
      <c r="P73" s="72">
        <f t="shared" si="19"/>
        <v>0.18639623786565965</v>
      </c>
      <c r="Q73" s="72">
        <f t="shared" si="20"/>
        <v>0.43173630593877516</v>
      </c>
      <c r="R73" s="72">
        <f t="shared" si="21"/>
        <v>0.86956521739130432</v>
      </c>
      <c r="S73" s="234">
        <f t="shared" si="22"/>
        <v>-0.67890010574997217</v>
      </c>
      <c r="T73" s="234">
        <f t="shared" si="23"/>
        <v>0.140942334870064</v>
      </c>
      <c r="U73" s="234">
        <f t="shared" si="24"/>
        <v>0.37542287472936969</v>
      </c>
    </row>
    <row r="74" spans="1:21" x14ac:dyDescent="0.2">
      <c r="A74" s="215" t="s">
        <v>93</v>
      </c>
      <c r="B74" s="50" t="s">
        <v>228</v>
      </c>
      <c r="C74" s="213" t="s">
        <v>156</v>
      </c>
      <c r="D74" s="105">
        <v>14</v>
      </c>
      <c r="E74" s="105">
        <f t="shared" si="25"/>
        <v>0.5</v>
      </c>
      <c r="F74" s="216">
        <v>2.11</v>
      </c>
      <c r="G74" s="216">
        <v>1.39</v>
      </c>
      <c r="H74" s="217">
        <v>2.93</v>
      </c>
      <c r="I74" s="217">
        <v>0.84</v>
      </c>
      <c r="J74" s="72">
        <f t="shared" si="13"/>
        <v>0.82000000000000028</v>
      </c>
      <c r="K74" s="72">
        <f t="shared" si="14"/>
        <v>1.2124768039018312</v>
      </c>
      <c r="L74" s="72">
        <f t="shared" si="15"/>
        <v>0.10500714285714284</v>
      </c>
      <c r="M74" s="72">
        <f t="shared" si="16"/>
        <v>0.32404805640081047</v>
      </c>
      <c r="N74" s="72">
        <f t="shared" si="17"/>
        <v>1.2124768039018312</v>
      </c>
      <c r="O74" s="72">
        <f t="shared" si="18"/>
        <v>0.67630159798619294</v>
      </c>
      <c r="P74" s="72">
        <f t="shared" si="19"/>
        <v>8.7763708979952781E-2</v>
      </c>
      <c r="Q74" s="72">
        <f t="shared" si="20"/>
        <v>0.29624940334109162</v>
      </c>
      <c r="R74" s="72">
        <f t="shared" si="21"/>
        <v>0.94117647058823528</v>
      </c>
      <c r="S74" s="234">
        <f t="shared" si="22"/>
        <v>0.63651915104582868</v>
      </c>
      <c r="T74" s="234">
        <f t="shared" si="23"/>
        <v>7.7742247400927028E-2</v>
      </c>
      <c r="U74" s="234">
        <f t="shared" si="24"/>
        <v>0.27882296785043914</v>
      </c>
    </row>
    <row r="75" spans="1:21" x14ac:dyDescent="0.2">
      <c r="A75" s="215" t="s">
        <v>93</v>
      </c>
      <c r="B75" s="50" t="s">
        <v>228</v>
      </c>
      <c r="C75" s="213" t="s">
        <v>172</v>
      </c>
      <c r="D75" s="105">
        <v>14</v>
      </c>
      <c r="E75" s="105">
        <f t="shared" si="25"/>
        <v>0.5</v>
      </c>
      <c r="F75" s="216">
        <v>2.11</v>
      </c>
      <c r="G75" s="216">
        <v>1.39</v>
      </c>
      <c r="H75" s="217">
        <v>2.7</v>
      </c>
      <c r="I75" s="217">
        <v>0.56000000000000005</v>
      </c>
      <c r="J75" s="72">
        <f t="shared" si="13"/>
        <v>0.5900000000000003</v>
      </c>
      <c r="K75" s="72">
        <f t="shared" si="14"/>
        <v>1.211321592311472</v>
      </c>
      <c r="L75" s="72">
        <f t="shared" si="15"/>
        <v>0.10480714285714285</v>
      </c>
      <c r="M75" s="72">
        <f t="shared" si="16"/>
        <v>0.32373931311649939</v>
      </c>
      <c r="N75" s="72">
        <f t="shared" si="17"/>
        <v>1.211321592311472</v>
      </c>
      <c r="O75" s="72">
        <f t="shared" si="18"/>
        <v>0.48707131429412448</v>
      </c>
      <c r="P75" s="72">
        <f t="shared" si="19"/>
        <v>7.9901373757435917E-2</v>
      </c>
      <c r="Q75" s="72">
        <f t="shared" si="20"/>
        <v>0.28266831049382934</v>
      </c>
      <c r="R75" s="72">
        <f t="shared" si="21"/>
        <v>0.94117647058823528</v>
      </c>
      <c r="S75" s="234">
        <f t="shared" si="22"/>
        <v>0.45842006051211714</v>
      </c>
      <c r="T75" s="234">
        <f t="shared" si="23"/>
        <v>7.0777687480635273E-2</v>
      </c>
      <c r="U75" s="234">
        <f t="shared" si="24"/>
        <v>0.26604076281772177</v>
      </c>
    </row>
    <row r="76" spans="1:21" x14ac:dyDescent="0.2">
      <c r="A76" s="215" t="s">
        <v>93</v>
      </c>
      <c r="B76" s="50" t="s">
        <v>229</v>
      </c>
      <c r="C76" s="213" t="s">
        <v>156</v>
      </c>
      <c r="D76" s="105">
        <v>14</v>
      </c>
      <c r="E76" s="105">
        <f t="shared" si="25"/>
        <v>0.5</v>
      </c>
      <c r="F76" s="216">
        <v>1.1000000000000001</v>
      </c>
      <c r="G76" s="216">
        <v>0.46</v>
      </c>
      <c r="H76" s="217">
        <v>1.75</v>
      </c>
      <c r="I76" s="217">
        <v>0.7</v>
      </c>
      <c r="J76" s="72">
        <f t="shared" si="13"/>
        <v>0.64999999999999991</v>
      </c>
      <c r="K76" s="72">
        <f t="shared" si="14"/>
        <v>0.61611687202997456</v>
      </c>
      <c r="L76" s="72">
        <f t="shared" si="15"/>
        <v>2.7114285714285719E-2</v>
      </c>
      <c r="M76" s="72">
        <f t="shared" si="16"/>
        <v>0.16466416038192924</v>
      </c>
      <c r="N76" s="72">
        <f t="shared" si="17"/>
        <v>0.61611687202997456</v>
      </c>
      <c r="O76" s="72">
        <f t="shared" si="18"/>
        <v>1.0549946438869424</v>
      </c>
      <c r="P76" s="72">
        <f t="shared" si="19"/>
        <v>0.11117906066536201</v>
      </c>
      <c r="Q76" s="72">
        <f t="shared" si="20"/>
        <v>0.33343524208661868</v>
      </c>
      <c r="R76" s="72">
        <f t="shared" si="21"/>
        <v>0.94117647058823528</v>
      </c>
      <c r="S76" s="234">
        <f t="shared" si="22"/>
        <v>0.99293613542300463</v>
      </c>
      <c r="T76" s="234">
        <f t="shared" si="23"/>
        <v>9.8483873807379496E-2</v>
      </c>
      <c r="U76" s="234">
        <f t="shared" si="24"/>
        <v>0.3138214043168176</v>
      </c>
    </row>
    <row r="77" spans="1:21" x14ac:dyDescent="0.2">
      <c r="A77" s="215" t="s">
        <v>93</v>
      </c>
      <c r="B77" s="50" t="s">
        <v>229</v>
      </c>
      <c r="C77" s="213" t="s">
        <v>172</v>
      </c>
      <c r="D77" s="105">
        <v>14</v>
      </c>
      <c r="E77" s="105">
        <f t="shared" si="25"/>
        <v>0.5</v>
      </c>
      <c r="F77" s="216">
        <v>1.1000000000000001</v>
      </c>
      <c r="G77" s="216">
        <v>0.46</v>
      </c>
      <c r="H77" s="217">
        <v>1.8</v>
      </c>
      <c r="I77" s="217">
        <v>0.44</v>
      </c>
      <c r="J77" s="72">
        <f t="shared" si="13"/>
        <v>0.7</v>
      </c>
      <c r="K77" s="72">
        <f t="shared" si="14"/>
        <v>0.4503332099679081</v>
      </c>
      <c r="L77" s="72">
        <f t="shared" si="15"/>
        <v>1.4485714285714286E-2</v>
      </c>
      <c r="M77" s="72">
        <f t="shared" si="16"/>
        <v>0.1203566129704317</v>
      </c>
      <c r="N77" s="72">
        <f t="shared" si="17"/>
        <v>0.4503332099679081</v>
      </c>
      <c r="O77" s="72">
        <f t="shared" si="18"/>
        <v>1.5544045708951462</v>
      </c>
      <c r="P77" s="72">
        <f t="shared" si="19"/>
        <v>0.15772048464356153</v>
      </c>
      <c r="Q77" s="72">
        <f t="shared" si="20"/>
        <v>0.39714038405022667</v>
      </c>
      <c r="R77" s="72">
        <f t="shared" si="21"/>
        <v>0.94117647058823528</v>
      </c>
      <c r="S77" s="234">
        <f t="shared" si="22"/>
        <v>1.462969007901314</v>
      </c>
      <c r="T77" s="234">
        <f t="shared" si="23"/>
        <v>0.13971087913062891</v>
      </c>
      <c r="U77" s="234">
        <f t="shared" si="24"/>
        <v>0.37377918498844864</v>
      </c>
    </row>
    <row r="78" spans="1:21" x14ac:dyDescent="0.2">
      <c r="A78" s="215" t="s">
        <v>93</v>
      </c>
      <c r="B78" s="50" t="s">
        <v>28</v>
      </c>
      <c r="C78" s="213" t="s">
        <v>156</v>
      </c>
      <c r="D78" s="105">
        <v>31</v>
      </c>
      <c r="E78" s="105">
        <f t="shared" si="25"/>
        <v>0.5</v>
      </c>
      <c r="F78" s="216">
        <v>2.2031884779865258</v>
      </c>
      <c r="G78" s="216">
        <v>0.54741631566115423</v>
      </c>
      <c r="H78" s="217">
        <v>2.9980017623094399</v>
      </c>
      <c r="I78" s="217">
        <v>0.70504177806748547</v>
      </c>
      <c r="J78" s="72">
        <f t="shared" si="13"/>
        <v>0.79481328432291409</v>
      </c>
      <c r="K78" s="72">
        <f t="shared" si="14"/>
        <v>0.64093459801738106</v>
      </c>
      <c r="L78" s="72">
        <f t="shared" si="15"/>
        <v>1.3251521255990382E-2</v>
      </c>
      <c r="M78" s="72">
        <f t="shared" si="16"/>
        <v>0.11511525205632128</v>
      </c>
      <c r="N78" s="72">
        <f t="shared" si="17"/>
        <v>0.64093459801738106</v>
      </c>
      <c r="O78" s="72">
        <f t="shared" si="18"/>
        <v>1.2400848491898078</v>
      </c>
      <c r="P78" s="72">
        <f t="shared" si="19"/>
        <v>5.7061458599840457E-2</v>
      </c>
      <c r="Q78" s="72">
        <f t="shared" si="20"/>
        <v>0.23887540392397133</v>
      </c>
      <c r="R78" s="72">
        <f t="shared" si="21"/>
        <v>0.97478991596638653</v>
      </c>
      <c r="S78" s="234">
        <f t="shared" si="22"/>
        <v>1.2088222059329219</v>
      </c>
      <c r="T78" s="234">
        <f t="shared" si="23"/>
        <v>5.4220675582194282E-2</v>
      </c>
      <c r="U78" s="234">
        <f t="shared" si="24"/>
        <v>0.23285333491748467</v>
      </c>
    </row>
    <row r="79" spans="1:21" x14ac:dyDescent="0.2">
      <c r="A79" s="215" t="s">
        <v>93</v>
      </c>
      <c r="B79" s="50" t="s">
        <v>28</v>
      </c>
      <c r="C79" s="213" t="s">
        <v>172</v>
      </c>
      <c r="D79" s="105">
        <v>31</v>
      </c>
      <c r="E79" s="105">
        <f t="shared" si="25"/>
        <v>0.5</v>
      </c>
      <c r="F79" s="216">
        <v>2.2031884779865258</v>
      </c>
      <c r="G79" s="216">
        <v>0.54741631566115423</v>
      </c>
      <c r="H79" s="217">
        <v>2.6788886594325789</v>
      </c>
      <c r="I79" s="217">
        <v>0.62571686556919404</v>
      </c>
      <c r="J79" s="72">
        <f t="shared" si="13"/>
        <v>0.47570018144605308</v>
      </c>
      <c r="K79" s="72">
        <f t="shared" si="14"/>
        <v>0.59047319779379936</v>
      </c>
      <c r="L79" s="72">
        <f t="shared" si="15"/>
        <v>1.1247051526220495E-2</v>
      </c>
      <c r="M79" s="72">
        <f t="shared" si="16"/>
        <v>0.10605211702847094</v>
      </c>
      <c r="N79" s="72">
        <f t="shared" si="17"/>
        <v>0.59047319779379936</v>
      </c>
      <c r="O79" s="72">
        <f t="shared" si="18"/>
        <v>0.80562535814229042</v>
      </c>
      <c r="P79" s="72">
        <f t="shared" si="19"/>
        <v>4.2726326091643445E-2</v>
      </c>
      <c r="Q79" s="72">
        <f t="shared" si="20"/>
        <v>0.20670347382577645</v>
      </c>
      <c r="R79" s="72">
        <f t="shared" si="21"/>
        <v>0.97478991596638653</v>
      </c>
      <c r="S79" s="234">
        <f t="shared" si="22"/>
        <v>0.78531547516391331</v>
      </c>
      <c r="T79" s="234">
        <f t="shared" si="23"/>
        <v>4.0599212194700529E-2</v>
      </c>
      <c r="U79" s="234">
        <f t="shared" si="24"/>
        <v>0.20149246188058881</v>
      </c>
    </row>
    <row r="80" spans="1:21" x14ac:dyDescent="0.2">
      <c r="A80" s="215" t="s">
        <v>93</v>
      </c>
      <c r="B80" s="50" t="s">
        <v>32</v>
      </c>
      <c r="C80" s="213" t="s">
        <v>156</v>
      </c>
      <c r="D80" s="105">
        <v>31</v>
      </c>
      <c r="E80" s="105">
        <f t="shared" si="25"/>
        <v>0.5</v>
      </c>
      <c r="F80" s="216">
        <v>2.157865337754219</v>
      </c>
      <c r="G80" s="216">
        <v>0.27479536449044722</v>
      </c>
      <c r="H80" s="217">
        <v>2.2732554865237451</v>
      </c>
      <c r="I80" s="217">
        <v>0.32161859472334342</v>
      </c>
      <c r="J80" s="72">
        <f t="shared" si="13"/>
        <v>0.11539014876952614</v>
      </c>
      <c r="K80" s="72">
        <f t="shared" si="14"/>
        <v>0.30095134798393808</v>
      </c>
      <c r="L80" s="72">
        <f t="shared" si="15"/>
        <v>2.9216681888177224E-3</v>
      </c>
      <c r="M80" s="72">
        <f t="shared" si="16"/>
        <v>5.4052457750020232E-2</v>
      </c>
      <c r="N80" s="72">
        <f t="shared" si="17"/>
        <v>0.30095134798393808</v>
      </c>
      <c r="O80" s="72">
        <f t="shared" si="18"/>
        <v>0.38341794958726871</v>
      </c>
      <c r="P80" s="72">
        <f t="shared" si="19"/>
        <v>3.462918264622105E-2</v>
      </c>
      <c r="Q80" s="72">
        <f t="shared" si="20"/>
        <v>0.18608917928300142</v>
      </c>
      <c r="R80" s="72">
        <f t="shared" si="21"/>
        <v>0.97478991596638653</v>
      </c>
      <c r="S80" s="234">
        <f t="shared" si="22"/>
        <v>0.37375195085817792</v>
      </c>
      <c r="T80" s="234">
        <f t="shared" si="23"/>
        <v>3.2905181956609734E-2</v>
      </c>
      <c r="U80" s="234">
        <f t="shared" si="24"/>
        <v>0.1813978554355308</v>
      </c>
    </row>
    <row r="81" spans="1:21" x14ac:dyDescent="0.2">
      <c r="A81" s="215" t="s">
        <v>93</v>
      </c>
      <c r="B81" s="50" t="s">
        <v>32</v>
      </c>
      <c r="C81" s="213" t="s">
        <v>172</v>
      </c>
      <c r="D81" s="105">
        <v>31</v>
      </c>
      <c r="E81" s="105">
        <f t="shared" si="25"/>
        <v>0.5</v>
      </c>
      <c r="F81" s="216">
        <v>2.157865337754219</v>
      </c>
      <c r="G81" s="216">
        <v>0.27479536449044722</v>
      </c>
      <c r="H81" s="217">
        <v>2.3129261468665421</v>
      </c>
      <c r="I81" s="217">
        <v>0.37062263721816802</v>
      </c>
      <c r="J81" s="72">
        <f t="shared" si="13"/>
        <v>0.15506080911232312</v>
      </c>
      <c r="K81" s="72">
        <f t="shared" si="14"/>
        <v>0.33320901680658382</v>
      </c>
      <c r="L81" s="72">
        <f t="shared" si="15"/>
        <v>3.5815564155229117E-3</v>
      </c>
      <c r="M81" s="72">
        <f t="shared" si="16"/>
        <v>5.9846106101591204E-2</v>
      </c>
      <c r="N81" s="72">
        <f t="shared" si="17"/>
        <v>0.33320901680658382</v>
      </c>
      <c r="O81" s="72">
        <f t="shared" si="18"/>
        <v>0.4653559816549937</v>
      </c>
      <c r="P81" s="72">
        <f t="shared" si="19"/>
        <v>3.5750906284872305E-2</v>
      </c>
      <c r="Q81" s="72">
        <f t="shared" si="20"/>
        <v>0.18907910060308702</v>
      </c>
      <c r="R81" s="72">
        <f t="shared" si="21"/>
        <v>0.97478991596638653</v>
      </c>
      <c r="S81" s="234">
        <f t="shared" si="22"/>
        <v>0.45362431825192662</v>
      </c>
      <c r="T81" s="234">
        <f t="shared" si="23"/>
        <v>3.3971061010468311E-2</v>
      </c>
      <c r="U81" s="234">
        <f t="shared" si="24"/>
        <v>0.18431240058788315</v>
      </c>
    </row>
    <row r="82" spans="1:21" x14ac:dyDescent="0.2">
      <c r="A82" s="215" t="s">
        <v>93</v>
      </c>
      <c r="B82" s="50" t="s">
        <v>35</v>
      </c>
      <c r="C82" s="213" t="s">
        <v>156</v>
      </c>
      <c r="D82" s="105">
        <v>16</v>
      </c>
      <c r="E82" s="105">
        <f t="shared" si="25"/>
        <v>0.5</v>
      </c>
      <c r="F82" s="216">
        <v>1.8878839987036899</v>
      </c>
      <c r="G82" s="216">
        <v>0.38776154356994841</v>
      </c>
      <c r="H82" s="217">
        <v>2.0944113831577931</v>
      </c>
      <c r="I82" s="217">
        <v>0.58945597327689625</v>
      </c>
      <c r="J82" s="72">
        <f t="shared" si="13"/>
        <v>0.20652738445410312</v>
      </c>
      <c r="K82" s="72">
        <f t="shared" si="14"/>
        <v>0.51889208997554248</v>
      </c>
      <c r="L82" s="72">
        <f t="shared" si="15"/>
        <v>1.6828062564949155E-2</v>
      </c>
      <c r="M82" s="72">
        <f t="shared" si="16"/>
        <v>0.12972302249388562</v>
      </c>
      <c r="N82" s="72">
        <f t="shared" si="17"/>
        <v>0.51889208997554248</v>
      </c>
      <c r="O82" s="72">
        <f t="shared" si="18"/>
        <v>0.3980160585293131</v>
      </c>
      <c r="P82" s="72">
        <f t="shared" si="19"/>
        <v>6.74505244639753E-2</v>
      </c>
      <c r="Q82" s="72">
        <f t="shared" si="20"/>
        <v>0.2597123879678736</v>
      </c>
      <c r="R82" s="72">
        <f t="shared" si="21"/>
        <v>0.94915254237288138</v>
      </c>
      <c r="S82" s="234">
        <f t="shared" si="22"/>
        <v>0.37777795385833107</v>
      </c>
      <c r="T82" s="234">
        <f t="shared" si="23"/>
        <v>6.0765539993974882E-2</v>
      </c>
      <c r="U82" s="234">
        <f t="shared" si="24"/>
        <v>0.24650667332543938</v>
      </c>
    </row>
    <row r="83" spans="1:21" x14ac:dyDescent="0.2">
      <c r="A83" s="215" t="s">
        <v>93</v>
      </c>
      <c r="B83" s="50" t="s">
        <v>35</v>
      </c>
      <c r="C83" s="213" t="s">
        <v>172</v>
      </c>
      <c r="D83" s="105">
        <v>16</v>
      </c>
      <c r="E83" s="105">
        <f t="shared" si="25"/>
        <v>0.5</v>
      </c>
      <c r="F83" s="216">
        <v>1.8878839987036899</v>
      </c>
      <c r="G83" s="216">
        <v>0.38776154356994841</v>
      </c>
      <c r="H83" s="217">
        <v>2.086278470097803</v>
      </c>
      <c r="I83" s="217">
        <v>0.45559777967251402</v>
      </c>
      <c r="J83" s="72">
        <f t="shared" si="13"/>
        <v>0.19839447139411304</v>
      </c>
      <c r="K83" s="72">
        <f t="shared" si="14"/>
        <v>0.42575233789307404</v>
      </c>
      <c r="L83" s="72">
        <f t="shared" si="15"/>
        <v>1.1329065826338643E-2</v>
      </c>
      <c r="M83" s="72">
        <f t="shared" si="16"/>
        <v>0.10643808447326851</v>
      </c>
      <c r="N83" s="72">
        <f t="shared" si="17"/>
        <v>0.42575233789307404</v>
      </c>
      <c r="O83" s="72">
        <f t="shared" si="18"/>
        <v>0.46598562999303833</v>
      </c>
      <c r="P83" s="72">
        <f t="shared" si="19"/>
        <v>6.9285706480000278E-2</v>
      </c>
      <c r="Q83" s="72">
        <f t="shared" si="20"/>
        <v>0.26322178192543316</v>
      </c>
      <c r="R83" s="72">
        <f t="shared" si="21"/>
        <v>0.94915254237288138</v>
      </c>
      <c r="S83" s="234">
        <f t="shared" si="22"/>
        <v>0.44229144541712112</v>
      </c>
      <c r="T83" s="234">
        <f t="shared" si="23"/>
        <v>6.2418838127342974E-2</v>
      </c>
      <c r="U83" s="234">
        <f t="shared" si="24"/>
        <v>0.24983762352244501</v>
      </c>
    </row>
    <row r="84" spans="1:21" x14ac:dyDescent="0.2">
      <c r="A84" s="215" t="s">
        <v>93</v>
      </c>
      <c r="B84" s="50" t="s">
        <v>38</v>
      </c>
      <c r="C84" s="213" t="s">
        <v>156</v>
      </c>
      <c r="D84" s="105">
        <v>16</v>
      </c>
      <c r="E84" s="105">
        <f t="shared" si="25"/>
        <v>0.5</v>
      </c>
      <c r="F84" s="216">
        <v>1.8059720790794991</v>
      </c>
      <c r="G84" s="216">
        <v>0.94424743591432814</v>
      </c>
      <c r="H84" s="217">
        <v>1.8324213586455009</v>
      </c>
      <c r="I84" s="217">
        <v>0.80064916684618737</v>
      </c>
      <c r="J84" s="72">
        <f t="shared" si="13"/>
        <v>2.6449279566001849E-2</v>
      </c>
      <c r="K84" s="72">
        <f t="shared" si="14"/>
        <v>0.88126692082525238</v>
      </c>
      <c r="L84" s="72">
        <f t="shared" si="15"/>
        <v>4.8539461608801356E-2</v>
      </c>
      <c r="M84" s="72">
        <f t="shared" si="16"/>
        <v>0.22031673020631309</v>
      </c>
      <c r="N84" s="72">
        <f t="shared" si="17"/>
        <v>0.88126692082525238</v>
      </c>
      <c r="O84" s="72">
        <f t="shared" si="18"/>
        <v>3.0012790609720969E-2</v>
      </c>
      <c r="P84" s="72">
        <f t="shared" si="19"/>
        <v>6.2528148987505722E-2</v>
      </c>
      <c r="Q84" s="72">
        <f t="shared" si="20"/>
        <v>0.25005629163751453</v>
      </c>
      <c r="R84" s="72">
        <f t="shared" si="21"/>
        <v>0.94915254237288138</v>
      </c>
      <c r="S84" s="234">
        <f t="shared" si="22"/>
        <v>2.8486716510921599E-2</v>
      </c>
      <c r="T84" s="234">
        <f t="shared" si="23"/>
        <v>5.6331018450105706E-2</v>
      </c>
      <c r="U84" s="234">
        <f t="shared" si="24"/>
        <v>0.2373415649440816</v>
      </c>
    </row>
    <row r="85" spans="1:21" x14ac:dyDescent="0.2">
      <c r="A85" s="215" t="s">
        <v>93</v>
      </c>
      <c r="B85" s="50" t="s">
        <v>38</v>
      </c>
      <c r="C85" s="213" t="s">
        <v>172</v>
      </c>
      <c r="D85" s="105">
        <v>16</v>
      </c>
      <c r="E85" s="105">
        <f t="shared" si="25"/>
        <v>0.5</v>
      </c>
      <c r="F85" s="216">
        <v>1.8059720790794991</v>
      </c>
      <c r="G85" s="216">
        <v>0.94424743591432814</v>
      </c>
      <c r="H85" s="217">
        <v>1.7624030226068039</v>
      </c>
      <c r="I85" s="217">
        <v>0.48129712811724179</v>
      </c>
      <c r="J85" s="72">
        <f t="shared" si="13"/>
        <v>-4.3569056472695156E-2</v>
      </c>
      <c r="K85" s="72">
        <f t="shared" si="14"/>
        <v>0.81779371887234042</v>
      </c>
      <c r="L85" s="72">
        <f t="shared" si="15"/>
        <v>4.1799160414190788E-2</v>
      </c>
      <c r="M85" s="72">
        <f t="shared" si="16"/>
        <v>0.20444842971808511</v>
      </c>
      <c r="N85" s="72">
        <f t="shared" si="17"/>
        <v>0.81779371887234042</v>
      </c>
      <c r="O85" s="72">
        <f t="shared" si="18"/>
        <v>-5.3276340313267181E-2</v>
      </c>
      <c r="P85" s="72">
        <f t="shared" si="19"/>
        <v>6.2588699013661722E-2</v>
      </c>
      <c r="Q85" s="72">
        <f t="shared" si="20"/>
        <v>0.2501773351318255</v>
      </c>
      <c r="R85" s="72">
        <f t="shared" si="21"/>
        <v>0.94915254237288138</v>
      </c>
      <c r="S85" s="234">
        <f t="shared" si="22"/>
        <v>-5.056737385666038E-2</v>
      </c>
      <c r="T85" s="234">
        <f t="shared" si="23"/>
        <v>5.6385567396392756E-2</v>
      </c>
      <c r="U85" s="234">
        <f t="shared" si="24"/>
        <v>0.23745645368444454</v>
      </c>
    </row>
    <row r="86" spans="1:21" x14ac:dyDescent="0.2">
      <c r="A86" s="215" t="s">
        <v>93</v>
      </c>
      <c r="B86" s="50" t="s">
        <v>40</v>
      </c>
      <c r="C86" s="213" t="s">
        <v>156</v>
      </c>
      <c r="D86" s="105">
        <v>16</v>
      </c>
      <c r="E86" s="105">
        <f t="shared" si="25"/>
        <v>0.5</v>
      </c>
      <c r="F86" s="216">
        <v>1.639578483716297</v>
      </c>
      <c r="G86" s="216">
        <v>0.35362045741947218</v>
      </c>
      <c r="H86" s="217">
        <v>2.3989099946386339</v>
      </c>
      <c r="I86" s="217">
        <v>0.94116482306826565</v>
      </c>
      <c r="J86" s="72">
        <f t="shared" si="13"/>
        <v>0.75933151092233686</v>
      </c>
      <c r="K86" s="72">
        <f t="shared" si="14"/>
        <v>0.82342183408394021</v>
      </c>
      <c r="L86" s="72">
        <f t="shared" si="15"/>
        <v>4.2376469802884995E-2</v>
      </c>
      <c r="M86" s="72">
        <f t="shared" si="16"/>
        <v>0.20585545852098505</v>
      </c>
      <c r="N86" s="72">
        <f t="shared" si="17"/>
        <v>0.82342183408394021</v>
      </c>
      <c r="O86" s="72">
        <f t="shared" si="18"/>
        <v>0.92216586868515082</v>
      </c>
      <c r="P86" s="72">
        <f t="shared" si="19"/>
        <v>8.9074684042744962E-2</v>
      </c>
      <c r="Q86" s="72">
        <f t="shared" si="20"/>
        <v>0.298453822295418</v>
      </c>
      <c r="R86" s="72">
        <f t="shared" si="21"/>
        <v>0.94915254237288138</v>
      </c>
      <c r="S86" s="234">
        <f t="shared" si="22"/>
        <v>0.87527607875200764</v>
      </c>
      <c r="T86" s="234">
        <f t="shared" si="23"/>
        <v>8.0246540981915609E-2</v>
      </c>
      <c r="U86" s="234">
        <f t="shared" si="24"/>
        <v>0.28327820421260019</v>
      </c>
    </row>
    <row r="87" spans="1:21" x14ac:dyDescent="0.2">
      <c r="A87" s="215" t="s">
        <v>93</v>
      </c>
      <c r="B87" s="50" t="s">
        <v>40</v>
      </c>
      <c r="C87" s="213" t="s">
        <v>172</v>
      </c>
      <c r="D87" s="105">
        <v>16</v>
      </c>
      <c r="E87" s="105">
        <f t="shared" si="25"/>
        <v>0.5</v>
      </c>
      <c r="F87" s="216">
        <v>1.639578483716297</v>
      </c>
      <c r="G87" s="216">
        <v>0.35362045741947218</v>
      </c>
      <c r="H87" s="217">
        <v>2.1689033935316488</v>
      </c>
      <c r="I87" s="217">
        <v>0.84267521352584718</v>
      </c>
      <c r="J87" s="72">
        <f t="shared" si="13"/>
        <v>0.52932490981535185</v>
      </c>
      <c r="K87" s="72">
        <f t="shared" si="14"/>
        <v>0.73291319331372895</v>
      </c>
      <c r="L87" s="72">
        <f t="shared" si="15"/>
        <v>3.3572609308332967E-2</v>
      </c>
      <c r="M87" s="72">
        <f t="shared" si="16"/>
        <v>0.18322829832843224</v>
      </c>
      <c r="N87" s="72">
        <f t="shared" si="17"/>
        <v>0.73291319331372895</v>
      </c>
      <c r="O87" s="72">
        <f t="shared" si="18"/>
        <v>0.72222046845972165</v>
      </c>
      <c r="P87" s="72">
        <f t="shared" si="19"/>
        <v>7.8800075158193122E-2</v>
      </c>
      <c r="Q87" s="72">
        <f t="shared" si="20"/>
        <v>0.28071351082232066</v>
      </c>
      <c r="R87" s="72">
        <f t="shared" si="21"/>
        <v>0.94915254237288138</v>
      </c>
      <c r="S87" s="234">
        <f t="shared" si="22"/>
        <v>0.68549739379227814</v>
      </c>
      <c r="T87" s="234">
        <f t="shared" si="23"/>
        <v>7.0990242946306709E-2</v>
      </c>
      <c r="U87" s="234">
        <f t="shared" si="24"/>
        <v>0.26643994247542296</v>
      </c>
    </row>
    <row r="88" spans="1:21" x14ac:dyDescent="0.2">
      <c r="A88" s="215" t="s">
        <v>93</v>
      </c>
      <c r="B88" s="50" t="s">
        <v>193</v>
      </c>
      <c r="C88" s="213" t="s">
        <v>156</v>
      </c>
      <c r="D88" s="105">
        <v>16</v>
      </c>
      <c r="E88" s="105">
        <f t="shared" si="25"/>
        <v>0.5</v>
      </c>
      <c r="F88" s="216">
        <v>1.4232401188868919</v>
      </c>
      <c r="G88" s="216">
        <v>0.48784811746662199</v>
      </c>
      <c r="H88" s="217">
        <v>1.659690042386438</v>
      </c>
      <c r="I88" s="217">
        <v>0.63686770183268615</v>
      </c>
      <c r="J88" s="72">
        <f t="shared" si="13"/>
        <v>0.23644992349954608</v>
      </c>
      <c r="K88" s="72">
        <f t="shared" si="14"/>
        <v>0.57697620916204539</v>
      </c>
      <c r="L88" s="72">
        <f t="shared" si="15"/>
        <v>2.0806346621187771E-2</v>
      </c>
      <c r="M88" s="72">
        <f t="shared" si="16"/>
        <v>0.14424405229051135</v>
      </c>
      <c r="N88" s="72">
        <f t="shared" si="17"/>
        <v>0.57697620916204539</v>
      </c>
      <c r="O88" s="72">
        <f t="shared" si="18"/>
        <v>0.40980879236415524</v>
      </c>
      <c r="P88" s="72">
        <f t="shared" si="19"/>
        <v>6.7748226446842724E-2</v>
      </c>
      <c r="Q88" s="72">
        <f t="shared" si="20"/>
        <v>0.26028489477271388</v>
      </c>
      <c r="R88" s="72">
        <f t="shared" si="21"/>
        <v>0.94915254237288138</v>
      </c>
      <c r="S88" s="234">
        <f t="shared" si="22"/>
        <v>0.38897105715919822</v>
      </c>
      <c r="T88" s="234">
        <f t="shared" si="23"/>
        <v>6.103373689666728E-2</v>
      </c>
      <c r="U88" s="234">
        <f t="shared" si="24"/>
        <v>0.24705006961477927</v>
      </c>
    </row>
    <row r="89" spans="1:21" x14ac:dyDescent="0.2">
      <c r="A89" s="215" t="s">
        <v>93</v>
      </c>
      <c r="B89" s="50" t="s">
        <v>193</v>
      </c>
      <c r="C89" s="213" t="s">
        <v>172</v>
      </c>
      <c r="D89" s="105">
        <v>16</v>
      </c>
      <c r="E89" s="105">
        <f t="shared" si="25"/>
        <v>0.5</v>
      </c>
      <c r="F89" s="216">
        <v>1.4232401188868919</v>
      </c>
      <c r="G89" s="216">
        <v>0.48784811746662199</v>
      </c>
      <c r="H89" s="217">
        <v>1.727617727734212</v>
      </c>
      <c r="I89" s="217">
        <v>0.4589849818751468</v>
      </c>
      <c r="J89" s="72">
        <f t="shared" si="13"/>
        <v>0.30437760884732001</v>
      </c>
      <c r="K89" s="72">
        <f t="shared" si="14"/>
        <v>0.47407598541733142</v>
      </c>
      <c r="L89" s="72">
        <f t="shared" si="15"/>
        <v>1.4046752496838365E-2</v>
      </c>
      <c r="M89" s="72">
        <f t="shared" si="16"/>
        <v>0.11851899635433286</v>
      </c>
      <c r="N89" s="72">
        <f t="shared" si="17"/>
        <v>0.47407598541733142</v>
      </c>
      <c r="O89" s="72">
        <f t="shared" si="18"/>
        <v>0.64204393010832406</v>
      </c>
      <c r="P89" s="72">
        <f t="shared" si="19"/>
        <v>7.5381887755904459E-2</v>
      </c>
      <c r="Q89" s="72">
        <f t="shared" si="20"/>
        <v>0.27455762192280231</v>
      </c>
      <c r="R89" s="72">
        <f t="shared" si="21"/>
        <v>0.94915254237288138</v>
      </c>
      <c r="S89" s="234">
        <f t="shared" si="22"/>
        <v>0.60939762857739233</v>
      </c>
      <c r="T89" s="234">
        <f t="shared" si="23"/>
        <v>6.7910830221923707E-2</v>
      </c>
      <c r="U89" s="234">
        <f t="shared" si="24"/>
        <v>0.26059706487588019</v>
      </c>
    </row>
    <row r="90" spans="1:21" x14ac:dyDescent="0.2">
      <c r="A90" s="215" t="s">
        <v>93</v>
      </c>
      <c r="B90" s="50" t="s">
        <v>196</v>
      </c>
      <c r="C90" s="213" t="s">
        <v>156</v>
      </c>
      <c r="D90" s="105">
        <v>16</v>
      </c>
      <c r="E90" s="105">
        <f t="shared" si="25"/>
        <v>0.5</v>
      </c>
      <c r="F90" s="216">
        <v>1.3122950503877959</v>
      </c>
      <c r="G90" s="216">
        <v>0.36953508974386062</v>
      </c>
      <c r="H90" s="217">
        <v>1.8424422901428901</v>
      </c>
      <c r="I90" s="217">
        <v>0.45260652029852311</v>
      </c>
      <c r="J90" s="72">
        <f t="shared" si="13"/>
        <v>0.53014723975509415</v>
      </c>
      <c r="K90" s="72">
        <f t="shared" si="14"/>
        <v>0.41731864764418253</v>
      </c>
      <c r="L90" s="72">
        <f t="shared" si="15"/>
        <v>1.0884678354473086E-2</v>
      </c>
      <c r="M90" s="72">
        <f t="shared" si="16"/>
        <v>0.10432966191104563</v>
      </c>
      <c r="N90" s="72">
        <f t="shared" si="17"/>
        <v>0.41731864764418253</v>
      </c>
      <c r="O90" s="72">
        <f t="shared" si="18"/>
        <v>1.2703655653727519</v>
      </c>
      <c r="P90" s="72">
        <f t="shared" si="19"/>
        <v>0.112932145927651</v>
      </c>
      <c r="Q90" s="72">
        <f t="shared" si="20"/>
        <v>0.3360537842781286</v>
      </c>
      <c r="R90" s="72">
        <f t="shared" si="21"/>
        <v>0.94915254237288138</v>
      </c>
      <c r="S90" s="234">
        <f t="shared" si="22"/>
        <v>1.2057707061165104</v>
      </c>
      <c r="T90" s="234">
        <f t="shared" si="23"/>
        <v>0.10173950290982865</v>
      </c>
      <c r="U90" s="234">
        <f t="shared" si="24"/>
        <v>0.31896630372161361</v>
      </c>
    </row>
    <row r="91" spans="1:21" x14ac:dyDescent="0.2">
      <c r="A91" s="215" t="s">
        <v>93</v>
      </c>
      <c r="B91" s="50" t="s">
        <v>196</v>
      </c>
      <c r="C91" s="213" t="s">
        <v>172</v>
      </c>
      <c r="D91" s="105">
        <v>16</v>
      </c>
      <c r="E91" s="105">
        <f t="shared" si="25"/>
        <v>0.5</v>
      </c>
      <c r="F91" s="216">
        <v>1.3122950503877959</v>
      </c>
      <c r="G91" s="216">
        <v>0.36953508974386062</v>
      </c>
      <c r="H91" s="217">
        <v>1.9443756436940189</v>
      </c>
      <c r="I91" s="217">
        <v>0.60220141821503004</v>
      </c>
      <c r="J91" s="72">
        <f t="shared" si="13"/>
        <v>0.63208059330622302</v>
      </c>
      <c r="K91" s="72">
        <f t="shared" si="14"/>
        <v>0.52599256223660185</v>
      </c>
      <c r="L91" s="72">
        <f t="shared" si="15"/>
        <v>1.7291760970514092E-2</v>
      </c>
      <c r="M91" s="72">
        <f t="shared" si="16"/>
        <v>0.13149814055915046</v>
      </c>
      <c r="N91" s="72">
        <f t="shared" si="17"/>
        <v>0.52599256223660185</v>
      </c>
      <c r="O91" s="72">
        <f t="shared" si="18"/>
        <v>1.2016911239552863</v>
      </c>
      <c r="P91" s="72">
        <f t="shared" si="19"/>
        <v>0.10762692366852873</v>
      </c>
      <c r="Q91" s="72">
        <f t="shared" si="20"/>
        <v>0.32806542589631221</v>
      </c>
      <c r="R91" s="72">
        <f t="shared" si="21"/>
        <v>0.94915254237288138</v>
      </c>
      <c r="S91" s="234">
        <f t="shared" si="22"/>
        <v>1.1405881854490854</v>
      </c>
      <c r="T91" s="234">
        <f t="shared" si="23"/>
        <v>9.6960078317870194E-2</v>
      </c>
      <c r="U91" s="234">
        <f t="shared" si="24"/>
        <v>0.31138413305412688</v>
      </c>
    </row>
    <row r="92" spans="1:21" x14ac:dyDescent="0.2">
      <c r="A92" s="215" t="s">
        <v>93</v>
      </c>
      <c r="B92" s="50" t="s">
        <v>26</v>
      </c>
      <c r="C92" s="213" t="s">
        <v>156</v>
      </c>
      <c r="D92" s="105">
        <v>3</v>
      </c>
      <c r="E92" s="105">
        <f t="shared" si="25"/>
        <v>0.5</v>
      </c>
      <c r="F92" s="216">
        <v>0.94157740993184036</v>
      </c>
      <c r="G92" s="216">
        <v>0.1154031482522572</v>
      </c>
      <c r="H92" s="217">
        <v>2.2552552552552552</v>
      </c>
      <c r="I92" s="217">
        <v>0.23329243911364281</v>
      </c>
      <c r="J92" s="72">
        <f t="shared" si="13"/>
        <v>1.3136778453234148</v>
      </c>
      <c r="K92" s="72">
        <f t="shared" si="14"/>
        <v>0.20204100286071336</v>
      </c>
      <c r="L92" s="72">
        <f t="shared" si="15"/>
        <v>1.3606855612320929E-2</v>
      </c>
      <c r="M92" s="72">
        <f t="shared" si="16"/>
        <v>0.11664842738897481</v>
      </c>
      <c r="N92" s="72">
        <f t="shared" si="17"/>
        <v>0.20204100286071336</v>
      </c>
      <c r="O92" s="72">
        <f t="shared" si="18"/>
        <v>6.5020358576870736</v>
      </c>
      <c r="P92" s="72">
        <f t="shared" si="19"/>
        <v>7.3794117157747454</v>
      </c>
      <c r="Q92" s="72">
        <f t="shared" si="20"/>
        <v>2.7165072640754606</v>
      </c>
      <c r="R92" s="72">
        <f t="shared" si="21"/>
        <v>0.5714285714285714</v>
      </c>
      <c r="S92" s="234">
        <f t="shared" si="22"/>
        <v>3.7154490615354705</v>
      </c>
      <c r="T92" s="234">
        <f t="shared" si="23"/>
        <v>2.4096038255591004</v>
      </c>
      <c r="U92" s="234">
        <f t="shared" si="24"/>
        <v>1.5522898651859776</v>
      </c>
    </row>
    <row r="93" spans="1:21" x14ac:dyDescent="0.2">
      <c r="A93" s="215" t="s">
        <v>93</v>
      </c>
      <c r="B93" s="50" t="s">
        <v>26</v>
      </c>
      <c r="C93" s="213" t="s">
        <v>172</v>
      </c>
      <c r="D93" s="105">
        <v>3</v>
      </c>
      <c r="E93" s="105">
        <f t="shared" si="25"/>
        <v>0.5</v>
      </c>
      <c r="F93" s="216">
        <v>0.94157740993184036</v>
      </c>
      <c r="G93" s="216">
        <v>0.1154031482522572</v>
      </c>
      <c r="H93" s="217">
        <v>9.8601694915254257</v>
      </c>
      <c r="I93" s="217">
        <v>1.0800496902579979</v>
      </c>
      <c r="J93" s="72">
        <f t="shared" si="13"/>
        <v>8.9185920815935855</v>
      </c>
      <c r="K93" s="72">
        <f t="shared" si="14"/>
        <v>1.0272215367330855</v>
      </c>
      <c r="L93" s="72">
        <f t="shared" si="15"/>
        <v>0.35172802850942725</v>
      </c>
      <c r="M93" s="72">
        <f t="shared" si="16"/>
        <v>0.59306663075022792</v>
      </c>
      <c r="N93" s="72">
        <f t="shared" si="17"/>
        <v>1.0272215367330855</v>
      </c>
      <c r="O93" s="72">
        <f t="shared" si="18"/>
        <v>8.6822479500943359</v>
      </c>
      <c r="P93" s="72">
        <f t="shared" si="19"/>
        <v>12.896904911152884</v>
      </c>
      <c r="Q93" s="72">
        <f t="shared" si="20"/>
        <v>3.5912261013688465</v>
      </c>
      <c r="R93" s="72">
        <f t="shared" si="21"/>
        <v>0.5714285714285714</v>
      </c>
      <c r="S93" s="234">
        <f t="shared" si="22"/>
        <v>4.9612845429110486</v>
      </c>
      <c r="T93" s="234">
        <f t="shared" si="23"/>
        <v>4.2112342567029826</v>
      </c>
      <c r="U93" s="234">
        <f t="shared" si="24"/>
        <v>2.0521292007821978</v>
      </c>
    </row>
    <row r="94" spans="1:21" x14ac:dyDescent="0.2">
      <c r="A94" s="215" t="s">
        <v>93</v>
      </c>
      <c r="B94" s="50" t="s">
        <v>197</v>
      </c>
      <c r="C94" s="213" t="s">
        <v>156</v>
      </c>
      <c r="D94" s="105">
        <v>7</v>
      </c>
      <c r="E94" s="105">
        <f t="shared" si="25"/>
        <v>0.5</v>
      </c>
      <c r="F94" s="216">
        <v>2.4</v>
      </c>
      <c r="G94" s="216">
        <v>2.2097963707093009</v>
      </c>
      <c r="H94" s="217">
        <v>2.5</v>
      </c>
      <c r="I94" s="217">
        <v>2.8831406486676991</v>
      </c>
      <c r="J94" s="72">
        <f t="shared" si="13"/>
        <v>0.10000000000000009</v>
      </c>
      <c r="K94" s="72">
        <f t="shared" si="14"/>
        <v>2.6123832525741046</v>
      </c>
      <c r="L94" s="72">
        <f t="shared" si="15"/>
        <v>0.97493517976137967</v>
      </c>
      <c r="M94" s="72">
        <f t="shared" si="16"/>
        <v>0.98738805935730234</v>
      </c>
      <c r="N94" s="72">
        <f t="shared" si="17"/>
        <v>2.6123832525741046</v>
      </c>
      <c r="O94" s="72">
        <f t="shared" si="18"/>
        <v>3.827922258400078E-2</v>
      </c>
      <c r="P94" s="72">
        <f t="shared" si="19"/>
        <v>0.14296180706297396</v>
      </c>
      <c r="Q94" s="72">
        <f t="shared" si="20"/>
        <v>0.37810290538816804</v>
      </c>
      <c r="R94" s="72">
        <f t="shared" si="21"/>
        <v>0.86956521739130432</v>
      </c>
      <c r="S94" s="234">
        <f t="shared" si="22"/>
        <v>3.3286280507826761E-2</v>
      </c>
      <c r="T94" s="234">
        <f t="shared" si="23"/>
        <v>0.10809966507597274</v>
      </c>
      <c r="U94" s="234">
        <f t="shared" si="24"/>
        <v>0.32878513512014612</v>
      </c>
    </row>
    <row r="95" spans="1:21" x14ac:dyDescent="0.2">
      <c r="A95" s="215" t="s">
        <v>93</v>
      </c>
      <c r="B95" s="50" t="s">
        <v>197</v>
      </c>
      <c r="C95" s="213" t="s">
        <v>171</v>
      </c>
      <c r="D95" s="105">
        <v>7</v>
      </c>
      <c r="E95" s="105">
        <f t="shared" si="25"/>
        <v>0.5</v>
      </c>
      <c r="F95" s="216">
        <v>2.4</v>
      </c>
      <c r="G95" s="216">
        <v>2.2097963707093009</v>
      </c>
      <c r="H95" s="217">
        <v>1.6</v>
      </c>
      <c r="I95" s="217">
        <v>1.4816207341961709</v>
      </c>
      <c r="J95" s="72">
        <f t="shared" si="13"/>
        <v>-0.79999999999999982</v>
      </c>
      <c r="K95" s="72">
        <f t="shared" si="14"/>
        <v>1.9504665797715299</v>
      </c>
      <c r="L95" s="72">
        <f t="shared" si="15"/>
        <v>0.54347426840080715</v>
      </c>
      <c r="M95" s="72">
        <f t="shared" si="16"/>
        <v>0.73720707294545618</v>
      </c>
      <c r="N95" s="72">
        <f t="shared" si="17"/>
        <v>1.9504665797715299</v>
      </c>
      <c r="O95" s="72">
        <f t="shared" si="18"/>
        <v>-0.4101582709987826</v>
      </c>
      <c r="P95" s="72">
        <f t="shared" si="19"/>
        <v>0.15487355766205077</v>
      </c>
      <c r="Q95" s="72">
        <f t="shared" si="20"/>
        <v>0.39353977900848952</v>
      </c>
      <c r="R95" s="72">
        <f t="shared" si="21"/>
        <v>0.86956521739130432</v>
      </c>
      <c r="S95" s="234">
        <f t="shared" si="22"/>
        <v>-0.35665936608589793</v>
      </c>
      <c r="T95" s="234">
        <f t="shared" si="23"/>
        <v>0.11710665985788338</v>
      </c>
      <c r="U95" s="234">
        <f t="shared" si="24"/>
        <v>0.34220850348564308</v>
      </c>
    </row>
    <row r="96" spans="1:21" x14ac:dyDescent="0.2">
      <c r="A96" s="215" t="s">
        <v>93</v>
      </c>
      <c r="B96" s="50" t="s">
        <v>198</v>
      </c>
      <c r="C96" s="213" t="s">
        <v>156</v>
      </c>
      <c r="D96" s="105">
        <v>7</v>
      </c>
      <c r="E96" s="105">
        <f t="shared" si="25"/>
        <v>0.5</v>
      </c>
      <c r="F96" s="216">
        <v>2.4</v>
      </c>
      <c r="G96" s="216">
        <v>2.2224311012942559</v>
      </c>
      <c r="H96" s="217">
        <v>2.6</v>
      </c>
      <c r="I96" s="217">
        <v>2.4954358336771549</v>
      </c>
      <c r="J96" s="72">
        <f t="shared" si="13"/>
        <v>0.20000000000000018</v>
      </c>
      <c r="K96" s="72">
        <f t="shared" si="14"/>
        <v>2.3707521574284662</v>
      </c>
      <c r="L96" s="72">
        <f t="shared" si="15"/>
        <v>0.80292368456453256</v>
      </c>
      <c r="M96" s="72">
        <f t="shared" si="16"/>
        <v>0.89606008981793883</v>
      </c>
      <c r="N96" s="72">
        <f t="shared" si="17"/>
        <v>2.3707521574284662</v>
      </c>
      <c r="O96" s="72">
        <f t="shared" si="18"/>
        <v>8.436141220975979E-2</v>
      </c>
      <c r="P96" s="72">
        <f t="shared" si="19"/>
        <v>0.14336548913357322</v>
      </c>
      <c r="Q96" s="72">
        <f t="shared" si="20"/>
        <v>0.37863635474366858</v>
      </c>
      <c r="R96" s="72">
        <f t="shared" si="21"/>
        <v>0.86956521739130432</v>
      </c>
      <c r="S96" s="234">
        <f t="shared" si="22"/>
        <v>7.3357749747617204E-2</v>
      </c>
      <c r="T96" s="234">
        <f t="shared" si="23"/>
        <v>0.10840490671725764</v>
      </c>
      <c r="U96" s="234">
        <f t="shared" si="24"/>
        <v>0.32924900412492919</v>
      </c>
    </row>
    <row r="97" spans="1:21" x14ac:dyDescent="0.2">
      <c r="A97" s="215" t="s">
        <v>93</v>
      </c>
      <c r="B97" s="50" t="s">
        <v>198</v>
      </c>
      <c r="C97" s="213" t="s">
        <v>171</v>
      </c>
      <c r="D97" s="105">
        <v>7</v>
      </c>
      <c r="E97" s="105">
        <f t="shared" si="25"/>
        <v>0.5</v>
      </c>
      <c r="F97" s="216">
        <v>2.4</v>
      </c>
      <c r="G97" s="216">
        <v>2.2224311012942559</v>
      </c>
      <c r="H97" s="217">
        <v>2.4</v>
      </c>
      <c r="I97" s="217">
        <v>1.454922678357857</v>
      </c>
      <c r="J97" s="72">
        <f t="shared" si="13"/>
        <v>0</v>
      </c>
      <c r="K97" s="72">
        <f t="shared" si="14"/>
        <v>1.9551303254870658</v>
      </c>
      <c r="L97" s="72">
        <f t="shared" si="15"/>
        <v>0.54607636994845143</v>
      </c>
      <c r="M97" s="72">
        <f t="shared" si="16"/>
        <v>0.73896980313707772</v>
      </c>
      <c r="N97" s="72">
        <f t="shared" si="17"/>
        <v>1.9551303254870658</v>
      </c>
      <c r="O97" s="72">
        <f t="shared" si="18"/>
        <v>0</v>
      </c>
      <c r="P97" s="72">
        <f t="shared" si="19"/>
        <v>0.14285714285714285</v>
      </c>
      <c r="Q97" s="72">
        <f t="shared" si="20"/>
        <v>0.3779644730092272</v>
      </c>
      <c r="R97" s="72">
        <f t="shared" si="21"/>
        <v>0.86956521739130432</v>
      </c>
      <c r="S97" s="234">
        <f t="shared" si="22"/>
        <v>0</v>
      </c>
      <c r="T97" s="234">
        <f t="shared" si="23"/>
        <v>0.10802052389954091</v>
      </c>
      <c r="U97" s="234">
        <f t="shared" si="24"/>
        <v>0.32866475913845844</v>
      </c>
    </row>
    <row r="98" spans="1:21" x14ac:dyDescent="0.2">
      <c r="A98" s="215" t="s">
        <v>93</v>
      </c>
      <c r="B98" s="50" t="s">
        <v>199</v>
      </c>
      <c r="C98" s="213" t="s">
        <v>156</v>
      </c>
      <c r="D98" s="105">
        <v>7</v>
      </c>
      <c r="E98" s="105">
        <f t="shared" si="25"/>
        <v>0.5</v>
      </c>
      <c r="F98" s="216">
        <v>3.666666666666667</v>
      </c>
      <c r="G98" s="216">
        <v>2.8952920490656409</v>
      </c>
      <c r="H98" s="217">
        <v>3</v>
      </c>
      <c r="I98" s="217">
        <v>1.984313483298443</v>
      </c>
      <c r="J98" s="72">
        <f t="shared" si="13"/>
        <v>-0.66666666666666696</v>
      </c>
      <c r="K98" s="72">
        <f t="shared" si="14"/>
        <v>2.5641858353744542</v>
      </c>
      <c r="L98" s="72">
        <f t="shared" si="15"/>
        <v>0.93929271404785541</v>
      </c>
      <c r="M98" s="72">
        <f t="shared" si="16"/>
        <v>0.96917114796503068</v>
      </c>
      <c r="N98" s="72">
        <f t="shared" si="17"/>
        <v>2.5641858353744542</v>
      </c>
      <c r="O98" s="72">
        <f t="shared" si="18"/>
        <v>-0.25999155656723766</v>
      </c>
      <c r="P98" s="72">
        <f t="shared" si="19"/>
        <v>0.14768540067758965</v>
      </c>
      <c r="Q98" s="72">
        <f t="shared" si="20"/>
        <v>0.38429858271608242</v>
      </c>
      <c r="R98" s="72">
        <f t="shared" si="21"/>
        <v>0.86956521739130432</v>
      </c>
      <c r="S98" s="234">
        <f t="shared" si="22"/>
        <v>-0.22607961440629362</v>
      </c>
      <c r="T98" s="234">
        <f t="shared" si="23"/>
        <v>0.11167138047454794</v>
      </c>
      <c r="U98" s="234">
        <f t="shared" si="24"/>
        <v>0.33417268062268041</v>
      </c>
    </row>
    <row r="99" spans="1:21" x14ac:dyDescent="0.2">
      <c r="A99" s="215" t="s">
        <v>93</v>
      </c>
      <c r="B99" s="50" t="s">
        <v>199</v>
      </c>
      <c r="C99" s="213" t="s">
        <v>171</v>
      </c>
      <c r="D99" s="105">
        <v>7</v>
      </c>
      <c r="E99" s="105">
        <f t="shared" si="25"/>
        <v>0.5</v>
      </c>
      <c r="F99" s="216">
        <v>3.666666666666667</v>
      </c>
      <c r="G99" s="216">
        <v>2.8952920490656409</v>
      </c>
      <c r="H99" s="217">
        <v>2.75</v>
      </c>
      <c r="I99" s="217">
        <v>1.628601777599423</v>
      </c>
      <c r="J99" s="72">
        <f t="shared" si="13"/>
        <v>-0.91666666666666696</v>
      </c>
      <c r="K99" s="72">
        <f t="shared" si="14"/>
        <v>2.5139176640464855</v>
      </c>
      <c r="L99" s="72">
        <f t="shared" si="15"/>
        <v>0.9028260030864198</v>
      </c>
      <c r="M99" s="72">
        <f t="shared" si="16"/>
        <v>0.9501715650799174</v>
      </c>
      <c r="N99" s="72">
        <f t="shared" si="17"/>
        <v>2.5139176640464855</v>
      </c>
      <c r="O99" s="72">
        <f t="shared" si="18"/>
        <v>-0.36463671017417881</v>
      </c>
      <c r="P99" s="72">
        <f t="shared" si="19"/>
        <v>0.15235428074333199</v>
      </c>
      <c r="Q99" s="72">
        <f t="shared" si="20"/>
        <v>0.39032586481468529</v>
      </c>
      <c r="R99" s="72">
        <f t="shared" si="21"/>
        <v>0.86956521739130432</v>
      </c>
      <c r="S99" s="234">
        <f t="shared" si="22"/>
        <v>-0.31707540015145985</v>
      </c>
      <c r="T99" s="234">
        <f t="shared" si="23"/>
        <v>0.11520172456962721</v>
      </c>
      <c r="U99" s="234">
        <f t="shared" si="24"/>
        <v>0.33941379549103068</v>
      </c>
    </row>
    <row r="100" spans="1:21" x14ac:dyDescent="0.2">
      <c r="A100" s="215" t="s">
        <v>93</v>
      </c>
      <c r="B100" s="50" t="s">
        <v>42</v>
      </c>
      <c r="C100" s="213" t="s">
        <v>156</v>
      </c>
      <c r="D100" s="105">
        <v>9</v>
      </c>
      <c r="E100" s="105">
        <f t="shared" si="25"/>
        <v>0.5</v>
      </c>
      <c r="F100" s="216">
        <v>8.4573459715639814</v>
      </c>
      <c r="G100" s="216">
        <v>3.416575636237897</v>
      </c>
      <c r="H100" s="217">
        <v>4.1580135440180586</v>
      </c>
      <c r="I100" s="217">
        <v>1.4897922487242741</v>
      </c>
      <c r="J100" s="72">
        <f t="shared" si="13"/>
        <v>-4.2993324275459228</v>
      </c>
      <c r="K100" s="72">
        <f t="shared" si="14"/>
        <v>2.9668977269946288</v>
      </c>
      <c r="L100" s="72">
        <f t="shared" si="15"/>
        <v>0.978053569160655</v>
      </c>
      <c r="M100" s="72">
        <f t="shared" si="16"/>
        <v>0.98896590899820958</v>
      </c>
      <c r="N100" s="72">
        <f t="shared" si="17"/>
        <v>2.9668977269946288</v>
      </c>
      <c r="O100" s="72">
        <f t="shared" si="18"/>
        <v>-1.4491003139164513</v>
      </c>
      <c r="P100" s="72">
        <f t="shared" si="19"/>
        <v>0.22777176221070877</v>
      </c>
      <c r="Q100" s="72">
        <f t="shared" si="20"/>
        <v>0.47725439988617052</v>
      </c>
      <c r="R100" s="72">
        <f t="shared" si="21"/>
        <v>0.90322580645161288</v>
      </c>
      <c r="S100" s="234">
        <f t="shared" si="22"/>
        <v>-1.3088647996664722</v>
      </c>
      <c r="T100" s="234">
        <f t="shared" si="23"/>
        <v>0.18582004326034929</v>
      </c>
      <c r="U100" s="234">
        <f t="shared" si="24"/>
        <v>0.4310684902197669</v>
      </c>
    </row>
    <row r="101" spans="1:21" x14ac:dyDescent="0.2">
      <c r="A101" s="215" t="s">
        <v>93</v>
      </c>
      <c r="B101" s="50" t="s">
        <v>42</v>
      </c>
      <c r="C101" s="213" t="s">
        <v>171</v>
      </c>
      <c r="D101" s="105">
        <v>9</v>
      </c>
      <c r="E101" s="105">
        <f t="shared" si="25"/>
        <v>0.5</v>
      </c>
      <c r="F101" s="216">
        <v>8.4573459715639814</v>
      </c>
      <c r="G101" s="216">
        <v>3.416575636237897</v>
      </c>
      <c r="H101" s="217">
        <v>3.657342657342658</v>
      </c>
      <c r="I101" s="217">
        <v>2.280264803552865</v>
      </c>
      <c r="J101" s="72">
        <f t="shared" si="13"/>
        <v>-4.800003314221323</v>
      </c>
      <c r="K101" s="72">
        <f t="shared" si="14"/>
        <v>3.0136190005484873</v>
      </c>
      <c r="L101" s="72">
        <f t="shared" si="15"/>
        <v>1.0090999422740958</v>
      </c>
      <c r="M101" s="72">
        <f t="shared" si="16"/>
        <v>1.0045396668494957</v>
      </c>
      <c r="N101" s="72">
        <f t="shared" si="17"/>
        <v>3.0136190005484873</v>
      </c>
      <c r="O101" s="72">
        <f t="shared" si="18"/>
        <v>-1.5927704574956916</v>
      </c>
      <c r="P101" s="72">
        <f t="shared" si="19"/>
        <v>0.25205098501505746</v>
      </c>
      <c r="Q101" s="72">
        <f t="shared" si="20"/>
        <v>0.50204679564265464</v>
      </c>
      <c r="R101" s="72">
        <f t="shared" si="21"/>
        <v>0.90322580645161288</v>
      </c>
      <c r="S101" s="234">
        <f t="shared" si="22"/>
        <v>-1.4386313809638505</v>
      </c>
      <c r="T101" s="234">
        <f t="shared" si="23"/>
        <v>0.20562744250968265</v>
      </c>
      <c r="U101" s="234">
        <f t="shared" si="24"/>
        <v>0.45346162187078481</v>
      </c>
    </row>
    <row r="102" spans="1:21" x14ac:dyDescent="0.2">
      <c r="A102" s="215" t="s">
        <v>93</v>
      </c>
      <c r="B102" s="50" t="s">
        <v>42</v>
      </c>
      <c r="C102" s="213" t="s">
        <v>172</v>
      </c>
      <c r="D102" s="105">
        <v>9</v>
      </c>
      <c r="E102" s="105">
        <f t="shared" si="25"/>
        <v>0.5</v>
      </c>
      <c r="F102" s="216">
        <v>8.4573459715639814</v>
      </c>
      <c r="G102" s="216">
        <v>3.416575636237897</v>
      </c>
      <c r="H102" s="217">
        <v>5.2667910447761201</v>
      </c>
      <c r="I102" s="217">
        <v>3.3286484172160482</v>
      </c>
      <c r="J102" s="72">
        <f t="shared" si="13"/>
        <v>-3.1905549267878612</v>
      </c>
      <c r="K102" s="72">
        <f t="shared" si="14"/>
        <v>3.3734715471909804</v>
      </c>
      <c r="L102" s="72">
        <f t="shared" si="15"/>
        <v>1.2644789199674564</v>
      </c>
      <c r="M102" s="72">
        <f t="shared" si="16"/>
        <v>1.1244905157303269</v>
      </c>
      <c r="N102" s="72">
        <f t="shared" si="17"/>
        <v>3.3734715471909804</v>
      </c>
      <c r="O102" s="72">
        <f t="shared" si="18"/>
        <v>-0.94577792702729924</v>
      </c>
      <c r="P102" s="72">
        <f t="shared" si="19"/>
        <v>0.16080532706955863</v>
      </c>
      <c r="Q102" s="72">
        <f t="shared" si="20"/>
        <v>0.40100539531228085</v>
      </c>
      <c r="R102" s="72">
        <f t="shared" si="21"/>
        <v>0.90322580645161288</v>
      </c>
      <c r="S102" s="234">
        <f t="shared" si="22"/>
        <v>-0.85425103086336707</v>
      </c>
      <c r="T102" s="234">
        <f t="shared" si="23"/>
        <v>0.13118769658952545</v>
      </c>
      <c r="U102" s="234">
        <f t="shared" si="24"/>
        <v>0.36219842157238269</v>
      </c>
    </row>
    <row r="103" spans="1:21" ht="16" thickBot="1" x14ac:dyDescent="0.25">
      <c r="A103" s="225" t="s">
        <v>93</v>
      </c>
      <c r="B103" s="226" t="s">
        <v>47</v>
      </c>
      <c r="C103" s="227" t="s">
        <v>156</v>
      </c>
      <c r="D103" s="228">
        <v>18</v>
      </c>
      <c r="E103" s="228">
        <f t="shared" si="25"/>
        <v>0.5</v>
      </c>
      <c r="F103" s="229">
        <v>1.703533026113671</v>
      </c>
      <c r="G103" s="229">
        <v>0.5109879576106483</v>
      </c>
      <c r="H103" s="230">
        <v>1.2438118811881189</v>
      </c>
      <c r="I103" s="230">
        <v>0.37226874760146228</v>
      </c>
      <c r="J103" s="231">
        <f t="shared" si="13"/>
        <v>-0.45972114492555205</v>
      </c>
      <c r="K103" s="231">
        <f t="shared" si="14"/>
        <v>0.4576765956925456</v>
      </c>
      <c r="L103" s="231">
        <f t="shared" si="15"/>
        <v>1.1637103680262103E-2</v>
      </c>
      <c r="M103" s="231">
        <f t="shared" si="16"/>
        <v>0.1078754081348576</v>
      </c>
      <c r="N103" s="231">
        <f t="shared" si="17"/>
        <v>0.4576765956925456</v>
      </c>
      <c r="O103" s="231">
        <f t="shared" si="18"/>
        <v>-1.004467235712398</v>
      </c>
      <c r="P103" s="231">
        <f t="shared" si="19"/>
        <v>8.3582067433880719E-2</v>
      </c>
      <c r="Q103" s="231">
        <f t="shared" si="20"/>
        <v>0.2891056336944694</v>
      </c>
      <c r="R103" s="231">
        <f t="shared" si="21"/>
        <v>0.95522388059701491</v>
      </c>
      <c r="S103" s="236">
        <f t="shared" si="22"/>
        <v>-0.95949109082975337</v>
      </c>
      <c r="T103" s="236">
        <f t="shared" si="23"/>
        <v>7.6264679930758611E-2</v>
      </c>
      <c r="U103" s="236">
        <f t="shared" si="24"/>
        <v>0.27616060532009018</v>
      </c>
    </row>
  </sheetData>
  <autoFilter ref="A1:U103" xr:uid="{8B59F207-CD49-E04C-973E-EA5BBBA2721F}"/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6A7F-F7A1-415F-8884-250E6DDD65F8}">
  <dimension ref="A1:Q61"/>
  <sheetViews>
    <sheetView zoomScale="83" zoomScaleNormal="60" workbookViewId="0">
      <selection activeCell="B12" sqref="B12"/>
    </sheetView>
  </sheetViews>
  <sheetFormatPr baseColWidth="10" defaultColWidth="11.5" defaultRowHeight="15" x14ac:dyDescent="0.2"/>
  <cols>
    <col min="1" max="1" width="8" bestFit="1" customWidth="1"/>
    <col min="2" max="2" width="10.6640625" customWidth="1"/>
    <col min="4" max="4" width="39.83203125" customWidth="1"/>
    <col min="7" max="7" width="28.5" bestFit="1" customWidth="1"/>
  </cols>
  <sheetData>
    <row r="1" spans="1:17" ht="17" thickBot="1" x14ac:dyDescent="0.25">
      <c r="A1" s="1" t="s">
        <v>64</v>
      </c>
      <c r="B1" s="1" t="s">
        <v>65</v>
      </c>
      <c r="C1" s="1" t="s">
        <v>66</v>
      </c>
      <c r="D1" s="1" t="s">
        <v>0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2" t="s">
        <v>77</v>
      </c>
      <c r="P1" s="2" t="s">
        <v>78</v>
      </c>
      <c r="Q1" s="2" t="s">
        <v>79</v>
      </c>
    </row>
    <row r="2" spans="1:17" x14ac:dyDescent="0.2">
      <c r="A2" s="59">
        <v>1</v>
      </c>
      <c r="B2" s="59">
        <v>2</v>
      </c>
      <c r="C2" s="4" t="s">
        <v>80</v>
      </c>
      <c r="D2" s="3" t="s">
        <v>12</v>
      </c>
      <c r="E2" s="3" t="s">
        <v>81</v>
      </c>
      <c r="F2" s="62">
        <v>7</v>
      </c>
      <c r="G2" s="3" t="s">
        <v>82</v>
      </c>
      <c r="H2" s="3"/>
      <c r="I2" s="3"/>
      <c r="J2" s="3">
        <v>13.54</v>
      </c>
      <c r="K2" s="3">
        <v>10.25</v>
      </c>
      <c r="L2" s="3">
        <v>18.59</v>
      </c>
      <c r="M2" s="3"/>
      <c r="N2" s="3"/>
      <c r="O2" s="5" t="s">
        <v>57</v>
      </c>
      <c r="P2" s="6">
        <f>(K2+J2+L2)/3</f>
        <v>14.126666666666665</v>
      </c>
      <c r="Q2" s="6">
        <f>(L2-K2)/(2*_xlfn.NORM.S.INV((0.75*F2-0.125)/(F2+0.25)))</f>
        <v>7.6606403920478146</v>
      </c>
    </row>
    <row r="3" spans="1:17" x14ac:dyDescent="0.2">
      <c r="A3" s="59">
        <v>1</v>
      </c>
      <c r="B3" s="59">
        <v>3</v>
      </c>
      <c r="C3" s="8" t="s">
        <v>80</v>
      </c>
      <c r="D3" s="7" t="s">
        <v>12</v>
      </c>
      <c r="E3" s="7" t="s">
        <v>83</v>
      </c>
      <c r="F3" s="63">
        <v>7</v>
      </c>
      <c r="G3" s="3" t="s">
        <v>82</v>
      </c>
      <c r="H3" s="7"/>
      <c r="I3" s="7"/>
      <c r="J3" s="7">
        <v>6.73</v>
      </c>
      <c r="K3" s="7">
        <v>3.67</v>
      </c>
      <c r="L3" s="7">
        <v>9.7799999999999994</v>
      </c>
      <c r="M3" s="7"/>
      <c r="N3" s="7"/>
      <c r="O3" s="9" t="s">
        <v>57</v>
      </c>
      <c r="P3" s="10">
        <f>(K3+J3+L3)/3</f>
        <v>6.7266666666666666</v>
      </c>
      <c r="Q3" s="6">
        <f>(L3-K3)/(2*_xlfn.NORM.S.INV((0.75*F3-0.125)/(F3+0.25)))</f>
        <v>5.6122917020877869</v>
      </c>
    </row>
    <row r="4" spans="1:17" x14ac:dyDescent="0.2">
      <c r="A4" s="59">
        <v>1</v>
      </c>
      <c r="B4" s="59">
        <v>1</v>
      </c>
      <c r="C4" s="8" t="s">
        <v>80</v>
      </c>
      <c r="D4" s="7" t="s">
        <v>12</v>
      </c>
      <c r="E4" s="7" t="s">
        <v>84</v>
      </c>
      <c r="F4" s="63">
        <v>7</v>
      </c>
      <c r="G4" s="7" t="s">
        <v>82</v>
      </c>
      <c r="H4" s="7"/>
      <c r="I4" s="7"/>
      <c r="J4" s="7">
        <v>9.6300000000000008</v>
      </c>
      <c r="K4" s="7">
        <v>6.42</v>
      </c>
      <c r="L4" s="7">
        <v>12.62</v>
      </c>
      <c r="M4" s="7"/>
      <c r="N4" s="7"/>
      <c r="O4" s="9" t="s">
        <v>57</v>
      </c>
      <c r="P4" s="10">
        <f>(K4+J4+L4)/3</f>
        <v>9.5566666666666666</v>
      </c>
      <c r="Q4" s="6">
        <f>(L4-K4)/(2*_xlfn.NORM.S.INV((0.75*F4-0.125)/(F4+0.25)))</f>
        <v>5.6949604832969358</v>
      </c>
    </row>
    <row r="5" spans="1:17" ht="16" x14ac:dyDescent="0.2">
      <c r="A5" s="59">
        <v>2</v>
      </c>
      <c r="B5" s="59">
        <v>8</v>
      </c>
      <c r="C5" s="8" t="s">
        <v>80</v>
      </c>
      <c r="D5" s="7" t="s">
        <v>28</v>
      </c>
      <c r="E5" s="7" t="s">
        <v>81</v>
      </c>
      <c r="F5" s="67">
        <v>16</v>
      </c>
      <c r="G5" s="12" t="s">
        <v>85</v>
      </c>
      <c r="H5" s="68">
        <v>31.5</v>
      </c>
      <c r="I5" s="68">
        <v>3.64</v>
      </c>
      <c r="J5" s="7"/>
      <c r="K5" s="7"/>
      <c r="L5" s="7"/>
      <c r="M5" s="7"/>
      <c r="N5" s="7"/>
      <c r="O5" s="8" t="s">
        <v>86</v>
      </c>
      <c r="P5" s="8">
        <f t="shared" ref="P5:P22" si="0">H5</f>
        <v>31.5</v>
      </c>
      <c r="Q5" s="8">
        <f t="shared" ref="Q5:Q22" si="1">I5</f>
        <v>3.64</v>
      </c>
    </row>
    <row r="6" spans="1:17" ht="16" x14ac:dyDescent="0.2">
      <c r="A6" s="59">
        <v>2</v>
      </c>
      <c r="B6" s="59">
        <v>9</v>
      </c>
      <c r="C6" s="8" t="s">
        <v>80</v>
      </c>
      <c r="D6" s="7" t="s">
        <v>28</v>
      </c>
      <c r="E6" s="11" t="s">
        <v>87</v>
      </c>
      <c r="F6" s="67">
        <v>16</v>
      </c>
      <c r="G6" s="12" t="s">
        <v>85</v>
      </c>
      <c r="H6" s="68">
        <v>25.93</v>
      </c>
      <c r="I6" s="68">
        <v>2.93</v>
      </c>
      <c r="J6" s="7"/>
      <c r="K6" s="7"/>
      <c r="L6" s="7"/>
      <c r="M6" s="7"/>
      <c r="N6" s="7"/>
      <c r="O6" s="8" t="s">
        <v>86</v>
      </c>
      <c r="P6" s="8">
        <f t="shared" si="0"/>
        <v>25.93</v>
      </c>
      <c r="Q6" s="8">
        <f t="shared" si="1"/>
        <v>2.93</v>
      </c>
    </row>
    <row r="7" spans="1:17" ht="16" x14ac:dyDescent="0.2">
      <c r="A7" s="59">
        <v>2</v>
      </c>
      <c r="B7" s="59">
        <v>7</v>
      </c>
      <c r="C7" s="8" t="s">
        <v>80</v>
      </c>
      <c r="D7" s="7" t="s">
        <v>28</v>
      </c>
      <c r="E7" s="7" t="s">
        <v>84</v>
      </c>
      <c r="F7" s="67">
        <v>16</v>
      </c>
      <c r="G7" s="12" t="s">
        <v>85</v>
      </c>
      <c r="H7" s="68">
        <v>20.47</v>
      </c>
      <c r="I7" s="68">
        <v>3.33</v>
      </c>
      <c r="J7" s="7"/>
      <c r="K7" s="7"/>
      <c r="L7" s="7"/>
      <c r="M7" s="7"/>
      <c r="N7" s="7"/>
      <c r="O7" s="8" t="s">
        <v>86</v>
      </c>
      <c r="P7" s="8">
        <f t="shared" si="0"/>
        <v>20.47</v>
      </c>
      <c r="Q7" s="8">
        <f t="shared" si="1"/>
        <v>3.33</v>
      </c>
    </row>
    <row r="8" spans="1:17" ht="16" x14ac:dyDescent="0.2">
      <c r="A8" s="59">
        <v>3</v>
      </c>
      <c r="B8" s="59">
        <v>11</v>
      </c>
      <c r="C8" s="8" t="s">
        <v>80</v>
      </c>
      <c r="D8" s="7" t="s">
        <v>32</v>
      </c>
      <c r="E8" s="7" t="s">
        <v>81</v>
      </c>
      <c r="F8" s="63">
        <v>9</v>
      </c>
      <c r="G8" s="12" t="s">
        <v>85</v>
      </c>
      <c r="H8" s="69">
        <v>23.39</v>
      </c>
      <c r="I8" s="68">
        <v>2.02</v>
      </c>
      <c r="J8" s="7"/>
      <c r="K8" s="7"/>
      <c r="L8" s="7"/>
      <c r="M8" s="7"/>
      <c r="N8" s="7"/>
      <c r="O8" s="8" t="s">
        <v>86</v>
      </c>
      <c r="P8" s="8">
        <f t="shared" si="0"/>
        <v>23.39</v>
      </c>
      <c r="Q8" s="8">
        <f t="shared" si="1"/>
        <v>2.02</v>
      </c>
    </row>
    <row r="9" spans="1:17" ht="16" x14ac:dyDescent="0.2">
      <c r="A9" s="59">
        <v>3</v>
      </c>
      <c r="B9" s="59">
        <v>12</v>
      </c>
      <c r="C9" s="8" t="s">
        <v>80</v>
      </c>
      <c r="D9" s="7" t="s">
        <v>32</v>
      </c>
      <c r="E9" s="11" t="s">
        <v>87</v>
      </c>
      <c r="F9" s="63">
        <v>9</v>
      </c>
      <c r="G9" s="12" t="s">
        <v>85</v>
      </c>
      <c r="H9" s="69">
        <v>24.32</v>
      </c>
      <c r="I9" s="68">
        <v>1.42</v>
      </c>
      <c r="J9" s="7"/>
      <c r="K9" s="7"/>
      <c r="L9" s="7"/>
      <c r="M9" s="7"/>
      <c r="N9" s="7"/>
      <c r="O9" s="8" t="s">
        <v>86</v>
      </c>
      <c r="P9" s="8">
        <f t="shared" si="0"/>
        <v>24.32</v>
      </c>
      <c r="Q9" s="8">
        <f t="shared" si="1"/>
        <v>1.42</v>
      </c>
    </row>
    <row r="10" spans="1:17" ht="16" x14ac:dyDescent="0.2">
      <c r="A10" s="59">
        <v>3</v>
      </c>
      <c r="B10" s="59">
        <v>10</v>
      </c>
      <c r="C10" s="8" t="s">
        <v>80</v>
      </c>
      <c r="D10" s="7" t="s">
        <v>32</v>
      </c>
      <c r="E10" s="7" t="s">
        <v>84</v>
      </c>
      <c r="F10" s="63">
        <v>9</v>
      </c>
      <c r="G10" s="12" t="s">
        <v>85</v>
      </c>
      <c r="H10" s="69">
        <v>21.53</v>
      </c>
      <c r="I10" s="68">
        <v>1.65</v>
      </c>
      <c r="J10" s="7"/>
      <c r="K10" s="7"/>
      <c r="L10" s="7"/>
      <c r="M10" s="7"/>
      <c r="N10" s="7"/>
      <c r="O10" s="8" t="s">
        <v>86</v>
      </c>
      <c r="P10" s="8">
        <f t="shared" si="0"/>
        <v>21.53</v>
      </c>
      <c r="Q10" s="8">
        <f t="shared" si="1"/>
        <v>1.65</v>
      </c>
    </row>
    <row r="11" spans="1:17" ht="16" x14ac:dyDescent="0.2">
      <c r="A11" s="59">
        <v>4</v>
      </c>
      <c r="B11" s="59">
        <v>14</v>
      </c>
      <c r="C11" s="8" t="s">
        <v>80</v>
      </c>
      <c r="D11" s="7" t="s">
        <v>35</v>
      </c>
      <c r="E11" s="7" t="s">
        <v>81</v>
      </c>
      <c r="F11" s="63">
        <v>16</v>
      </c>
      <c r="G11" s="12" t="s">
        <v>85</v>
      </c>
      <c r="H11" s="69">
        <v>25.27</v>
      </c>
      <c r="I11" s="71">
        <v>5.23</v>
      </c>
      <c r="J11" s="7"/>
      <c r="K11" s="7"/>
      <c r="L11" s="7"/>
      <c r="M11" s="7"/>
      <c r="N11" s="7"/>
      <c r="O11" s="8" t="s">
        <v>86</v>
      </c>
      <c r="P11" s="8">
        <f t="shared" si="0"/>
        <v>25.27</v>
      </c>
      <c r="Q11" s="8">
        <f t="shared" si="1"/>
        <v>5.23</v>
      </c>
    </row>
    <row r="12" spans="1:17" ht="16" x14ac:dyDescent="0.2">
      <c r="A12" s="59">
        <v>4</v>
      </c>
      <c r="B12" s="59">
        <v>15</v>
      </c>
      <c r="C12" s="8" t="s">
        <v>80</v>
      </c>
      <c r="D12" s="7" t="s">
        <v>35</v>
      </c>
      <c r="E12" s="11" t="s">
        <v>87</v>
      </c>
      <c r="F12" s="63">
        <v>16</v>
      </c>
      <c r="G12" s="12" t="s">
        <v>85</v>
      </c>
      <c r="H12" s="69">
        <v>28.06</v>
      </c>
      <c r="I12" s="71">
        <v>7.4</v>
      </c>
      <c r="J12" s="7"/>
      <c r="K12" s="7"/>
      <c r="L12" s="7"/>
      <c r="M12" s="7"/>
      <c r="N12" s="7"/>
      <c r="O12" s="8" t="s">
        <v>86</v>
      </c>
      <c r="P12" s="8">
        <f t="shared" si="0"/>
        <v>28.06</v>
      </c>
      <c r="Q12" s="8">
        <f t="shared" si="1"/>
        <v>7.4</v>
      </c>
    </row>
    <row r="13" spans="1:17" ht="16" x14ac:dyDescent="0.2">
      <c r="A13" s="59">
        <v>4</v>
      </c>
      <c r="B13" s="59">
        <v>13</v>
      </c>
      <c r="C13" s="8" t="s">
        <v>80</v>
      </c>
      <c r="D13" s="7" t="s">
        <v>35</v>
      </c>
      <c r="E13" s="7" t="s">
        <v>84</v>
      </c>
      <c r="F13" s="63">
        <v>16</v>
      </c>
      <c r="G13" s="12" t="s">
        <v>85</v>
      </c>
      <c r="H13" s="69">
        <v>18.96</v>
      </c>
      <c r="I13" s="71">
        <v>3.55</v>
      </c>
      <c r="J13" s="7"/>
      <c r="K13" s="7"/>
      <c r="L13" s="7"/>
      <c r="M13" s="7"/>
      <c r="N13" s="7"/>
      <c r="O13" s="8" t="s">
        <v>86</v>
      </c>
      <c r="P13" s="8">
        <f t="shared" si="0"/>
        <v>18.96</v>
      </c>
      <c r="Q13" s="8">
        <f t="shared" si="1"/>
        <v>3.55</v>
      </c>
    </row>
    <row r="14" spans="1:17" ht="16" x14ac:dyDescent="0.2">
      <c r="A14" s="59">
        <v>5</v>
      </c>
      <c r="B14" s="59">
        <v>17</v>
      </c>
      <c r="C14" s="8" t="s">
        <v>80</v>
      </c>
      <c r="D14" s="7" t="s">
        <v>38</v>
      </c>
      <c r="E14" s="7" t="s">
        <v>81</v>
      </c>
      <c r="F14" s="63">
        <v>16</v>
      </c>
      <c r="G14" s="12" t="s">
        <v>85</v>
      </c>
      <c r="H14" s="7">
        <v>23.19</v>
      </c>
      <c r="I14" s="7">
        <v>3.87</v>
      </c>
      <c r="J14" s="7"/>
      <c r="K14" s="7"/>
      <c r="L14" s="7"/>
      <c r="M14" s="7"/>
      <c r="N14" s="7"/>
      <c r="O14" s="8" t="s">
        <v>86</v>
      </c>
      <c r="P14" s="8">
        <f t="shared" si="0"/>
        <v>23.19</v>
      </c>
      <c r="Q14" s="8">
        <f t="shared" si="1"/>
        <v>3.87</v>
      </c>
    </row>
    <row r="15" spans="1:17" ht="16" x14ac:dyDescent="0.2">
      <c r="A15" s="59">
        <v>5</v>
      </c>
      <c r="B15" s="59">
        <v>18</v>
      </c>
      <c r="C15" s="8" t="s">
        <v>80</v>
      </c>
      <c r="D15" s="7" t="s">
        <v>38</v>
      </c>
      <c r="E15" s="11" t="s">
        <v>87</v>
      </c>
      <c r="F15" s="63">
        <v>16</v>
      </c>
      <c r="G15" s="12" t="s">
        <v>85</v>
      </c>
      <c r="H15" s="7">
        <v>23.92</v>
      </c>
      <c r="I15" s="7">
        <v>2.48</v>
      </c>
      <c r="J15" s="7"/>
      <c r="K15" s="7"/>
      <c r="L15" s="7"/>
      <c r="M15" s="7"/>
      <c r="N15" s="7"/>
      <c r="O15" s="8" t="s">
        <v>86</v>
      </c>
      <c r="P15" s="8">
        <f t="shared" si="0"/>
        <v>23.92</v>
      </c>
      <c r="Q15" s="8">
        <f t="shared" si="1"/>
        <v>2.48</v>
      </c>
    </row>
    <row r="16" spans="1:17" ht="16" x14ac:dyDescent="0.2">
      <c r="A16" s="59">
        <v>5</v>
      </c>
      <c r="B16" s="59">
        <v>16</v>
      </c>
      <c r="C16" s="8" t="s">
        <v>80</v>
      </c>
      <c r="D16" s="7" t="s">
        <v>38</v>
      </c>
      <c r="E16" s="7" t="s">
        <v>84</v>
      </c>
      <c r="F16" s="63">
        <v>16</v>
      </c>
      <c r="G16" s="12" t="s">
        <v>85</v>
      </c>
      <c r="H16" s="7">
        <v>17.940000000000001</v>
      </c>
      <c r="I16" s="7">
        <v>4.6900000000000004</v>
      </c>
      <c r="J16" s="7"/>
      <c r="K16" s="7"/>
      <c r="L16" s="7"/>
      <c r="M16" s="7"/>
      <c r="N16" s="7"/>
      <c r="O16" s="8" t="s">
        <v>86</v>
      </c>
      <c r="P16" s="8">
        <f t="shared" si="0"/>
        <v>17.940000000000001</v>
      </c>
      <c r="Q16" s="8">
        <f t="shared" si="1"/>
        <v>4.6900000000000004</v>
      </c>
    </row>
    <row r="17" spans="1:17" ht="16" x14ac:dyDescent="0.2">
      <c r="A17" s="59">
        <v>6</v>
      </c>
      <c r="B17" s="59">
        <v>20</v>
      </c>
      <c r="C17" s="8" t="s">
        <v>80</v>
      </c>
      <c r="D17" s="7" t="s">
        <v>40</v>
      </c>
      <c r="E17" s="7" t="s">
        <v>81</v>
      </c>
      <c r="F17" s="63">
        <v>16</v>
      </c>
      <c r="G17" s="12" t="s">
        <v>85</v>
      </c>
      <c r="H17" s="7">
        <v>26</v>
      </c>
      <c r="I17" s="7">
        <v>5.3</v>
      </c>
      <c r="J17" s="7"/>
      <c r="K17" s="7"/>
      <c r="L17" s="7"/>
      <c r="M17" s="7"/>
      <c r="N17" s="7"/>
      <c r="O17" s="8" t="s">
        <v>86</v>
      </c>
      <c r="P17" s="8">
        <f t="shared" si="0"/>
        <v>26</v>
      </c>
      <c r="Q17" s="8">
        <f t="shared" si="1"/>
        <v>5.3</v>
      </c>
    </row>
    <row r="18" spans="1:17" ht="16" x14ac:dyDescent="0.2">
      <c r="A18" s="59">
        <v>6</v>
      </c>
      <c r="B18" s="59">
        <v>21</v>
      </c>
      <c r="C18" s="8" t="s">
        <v>80</v>
      </c>
      <c r="D18" s="7" t="s">
        <v>40</v>
      </c>
      <c r="E18" s="11" t="s">
        <v>87</v>
      </c>
      <c r="F18" s="63">
        <v>16</v>
      </c>
      <c r="G18" s="12" t="s">
        <v>85</v>
      </c>
      <c r="H18" s="7">
        <v>27.89</v>
      </c>
      <c r="I18" s="7">
        <v>6.32</v>
      </c>
      <c r="J18" s="7"/>
      <c r="K18" s="7"/>
      <c r="L18" s="7"/>
      <c r="M18" s="7"/>
      <c r="N18" s="7"/>
      <c r="O18" s="8" t="s">
        <v>86</v>
      </c>
      <c r="P18" s="8">
        <f t="shared" si="0"/>
        <v>27.89</v>
      </c>
      <c r="Q18" s="8">
        <f t="shared" si="1"/>
        <v>6.32</v>
      </c>
    </row>
    <row r="19" spans="1:17" ht="16" x14ac:dyDescent="0.2">
      <c r="A19" s="59">
        <v>6</v>
      </c>
      <c r="B19" s="59">
        <v>19</v>
      </c>
      <c r="C19" s="8" t="s">
        <v>80</v>
      </c>
      <c r="D19" s="7" t="s">
        <v>40</v>
      </c>
      <c r="E19" s="7" t="s">
        <v>84</v>
      </c>
      <c r="F19" s="63">
        <v>16</v>
      </c>
      <c r="G19" s="12" t="s">
        <v>85</v>
      </c>
      <c r="H19" s="7">
        <v>18.96</v>
      </c>
      <c r="I19" s="7">
        <v>5.07</v>
      </c>
      <c r="J19" s="7"/>
      <c r="K19" s="7"/>
      <c r="L19" s="7"/>
      <c r="M19" s="7"/>
      <c r="N19" s="7"/>
      <c r="O19" s="8" t="s">
        <v>86</v>
      </c>
      <c r="P19" s="8">
        <f t="shared" si="0"/>
        <v>18.96</v>
      </c>
      <c r="Q19" s="8">
        <f t="shared" si="1"/>
        <v>5.07</v>
      </c>
    </row>
    <row r="20" spans="1:17" ht="16" x14ac:dyDescent="0.2">
      <c r="A20" s="59">
        <v>7</v>
      </c>
      <c r="B20" s="59">
        <v>5</v>
      </c>
      <c r="C20" s="8" t="s">
        <v>80</v>
      </c>
      <c r="D20" s="7" t="s">
        <v>88</v>
      </c>
      <c r="E20" s="7" t="s">
        <v>81</v>
      </c>
      <c r="F20" s="64">
        <v>14</v>
      </c>
      <c r="G20" s="12" t="s">
        <v>85</v>
      </c>
      <c r="H20" s="65">
        <v>31.65</v>
      </c>
      <c r="I20" s="65">
        <v>3.23</v>
      </c>
      <c r="J20" s="7"/>
      <c r="K20" s="7"/>
      <c r="L20" s="7"/>
      <c r="M20" s="7"/>
      <c r="N20" s="7"/>
      <c r="O20" s="8" t="s">
        <v>86</v>
      </c>
      <c r="P20" s="17">
        <f t="shared" si="0"/>
        <v>31.65</v>
      </c>
      <c r="Q20" s="17">
        <f t="shared" si="1"/>
        <v>3.23</v>
      </c>
    </row>
    <row r="21" spans="1:17" ht="16" x14ac:dyDescent="0.2">
      <c r="A21" s="59">
        <v>7</v>
      </c>
      <c r="B21" s="59">
        <v>6</v>
      </c>
      <c r="C21" s="8" t="s">
        <v>80</v>
      </c>
      <c r="D21" s="7" t="s">
        <v>88</v>
      </c>
      <c r="E21" s="11" t="s">
        <v>87</v>
      </c>
      <c r="F21" s="64">
        <v>14</v>
      </c>
      <c r="G21" s="12" t="s">
        <v>85</v>
      </c>
      <c r="H21" s="65">
        <v>35.36</v>
      </c>
      <c r="I21" s="66">
        <v>5.14</v>
      </c>
      <c r="J21" s="7"/>
      <c r="K21" s="7"/>
      <c r="L21" s="7"/>
      <c r="M21" s="7"/>
      <c r="N21" s="7"/>
      <c r="O21" s="8" t="s">
        <v>86</v>
      </c>
      <c r="P21" s="17">
        <f t="shared" si="0"/>
        <v>35.36</v>
      </c>
      <c r="Q21" s="17">
        <f t="shared" si="1"/>
        <v>5.14</v>
      </c>
    </row>
    <row r="22" spans="1:17" ht="16" x14ac:dyDescent="0.2">
      <c r="A22" s="59">
        <v>7</v>
      </c>
      <c r="B22" s="59">
        <v>4</v>
      </c>
      <c r="C22" s="8" t="s">
        <v>80</v>
      </c>
      <c r="D22" s="7" t="s">
        <v>88</v>
      </c>
      <c r="E22" s="7" t="s">
        <v>84</v>
      </c>
      <c r="F22" s="64">
        <v>14</v>
      </c>
      <c r="G22" s="12" t="s">
        <v>85</v>
      </c>
      <c r="H22" s="65">
        <v>23.9</v>
      </c>
      <c r="I22" s="65">
        <v>3.14</v>
      </c>
      <c r="J22" s="7"/>
      <c r="K22" s="7"/>
      <c r="L22" s="7"/>
      <c r="M22" s="7"/>
      <c r="N22" s="7"/>
      <c r="O22" s="8" t="s">
        <v>86</v>
      </c>
      <c r="P22" s="17">
        <f t="shared" si="0"/>
        <v>23.9</v>
      </c>
      <c r="Q22" s="17">
        <f t="shared" si="1"/>
        <v>3.14</v>
      </c>
    </row>
    <row r="23" spans="1:17" ht="16" x14ac:dyDescent="0.2">
      <c r="A23" s="59">
        <v>8</v>
      </c>
      <c r="B23" s="59">
        <v>23</v>
      </c>
      <c r="C23" s="8" t="s">
        <v>80</v>
      </c>
      <c r="D23" s="7" t="s">
        <v>26</v>
      </c>
      <c r="E23" s="7" t="s">
        <v>81</v>
      </c>
      <c r="F23" s="63">
        <v>3</v>
      </c>
      <c r="G23" s="11" t="s">
        <v>89</v>
      </c>
      <c r="H23" s="11"/>
      <c r="I23" s="7"/>
      <c r="J23" s="7">
        <v>1.88</v>
      </c>
      <c r="K23" s="7"/>
      <c r="L23" s="7"/>
      <c r="M23" s="7">
        <v>1.81</v>
      </c>
      <c r="N23" s="7">
        <v>1.94</v>
      </c>
      <c r="O23" s="13" t="s">
        <v>90</v>
      </c>
      <c r="P23" s="14">
        <f>(M23+2*J23+N23)/4</f>
        <v>1.8774999999999999</v>
      </c>
      <c r="Q23" s="15">
        <f>(N23-M23)/(2*_xlfn.NORM.S.INV((F23-0.375)/(F23+0.25)))</f>
        <v>7.4762160866749403E-2</v>
      </c>
    </row>
    <row r="24" spans="1:17" ht="16" x14ac:dyDescent="0.2">
      <c r="A24" s="59">
        <v>8</v>
      </c>
      <c r="B24" s="59">
        <v>24</v>
      </c>
      <c r="C24" s="8" t="s">
        <v>80</v>
      </c>
      <c r="D24" s="7" t="s">
        <v>26</v>
      </c>
      <c r="E24" s="11" t="s">
        <v>87</v>
      </c>
      <c r="F24" s="63">
        <v>3</v>
      </c>
      <c r="G24" s="7" t="s">
        <v>89</v>
      </c>
      <c r="H24" s="7"/>
      <c r="I24" s="7"/>
      <c r="J24" s="7">
        <v>5.8</v>
      </c>
      <c r="K24" s="7"/>
      <c r="L24" s="7"/>
      <c r="M24" s="7">
        <v>5.75</v>
      </c>
      <c r="N24" s="7">
        <v>5.92</v>
      </c>
      <c r="O24" s="13" t="s">
        <v>90</v>
      </c>
      <c r="P24" s="14">
        <f>(M24+2*J24+N24)/4</f>
        <v>5.8175000000000008</v>
      </c>
      <c r="Q24" s="15">
        <f>(N24-M24)/(2*_xlfn.NORM.S.INV((F24-0.375)/(F24+0.25)))</f>
        <v>9.7765902671903104E-2</v>
      </c>
    </row>
    <row r="25" spans="1:17" x14ac:dyDescent="0.2">
      <c r="A25" s="59">
        <v>8</v>
      </c>
      <c r="B25" s="59">
        <v>22</v>
      </c>
      <c r="C25" s="8" t="s">
        <v>80</v>
      </c>
      <c r="D25" s="7" t="s">
        <v>26</v>
      </c>
      <c r="E25" s="7" t="s">
        <v>84</v>
      </c>
      <c r="F25" s="63">
        <v>3</v>
      </c>
      <c r="G25" s="7" t="s">
        <v>89</v>
      </c>
      <c r="H25" s="7"/>
      <c r="I25" s="7"/>
      <c r="J25" s="7">
        <v>2.52</v>
      </c>
      <c r="K25" s="7"/>
      <c r="L25" s="7"/>
      <c r="M25" s="7">
        <v>2.0499999999999998</v>
      </c>
      <c r="N25" s="7">
        <v>2.58</v>
      </c>
      <c r="O25" s="13" t="s">
        <v>90</v>
      </c>
      <c r="P25" s="14">
        <f>(M25+2*J25+N25)/4</f>
        <v>2.4175</v>
      </c>
      <c r="Q25" s="15">
        <f>(N25-M25)/(2*_xlfn.NORM.S.INV((F25-0.375)/(F25+0.25)))</f>
        <v>0.30479957891828641</v>
      </c>
    </row>
    <row r="26" spans="1:17" x14ac:dyDescent="0.2">
      <c r="A26" s="59">
        <v>9</v>
      </c>
      <c r="B26" s="59">
        <v>26</v>
      </c>
      <c r="C26" s="8" t="s">
        <v>80</v>
      </c>
      <c r="D26" s="7" t="s">
        <v>42</v>
      </c>
      <c r="E26" s="7" t="s">
        <v>81</v>
      </c>
      <c r="F26" s="63">
        <v>9</v>
      </c>
      <c r="G26" s="7" t="s">
        <v>89</v>
      </c>
      <c r="H26" s="7"/>
      <c r="I26" s="7"/>
      <c r="J26" s="7">
        <v>6.66</v>
      </c>
      <c r="K26" s="7">
        <v>4.51</v>
      </c>
      <c r="L26" s="7">
        <v>7.25</v>
      </c>
      <c r="M26" s="7"/>
      <c r="N26" s="7"/>
      <c r="O26" s="9" t="s">
        <v>57</v>
      </c>
      <c r="P26" s="10">
        <f>(J26+K26+L26)/3</f>
        <v>6.1400000000000006</v>
      </c>
      <c r="Q26" s="6">
        <f>(L26-K26)/(2*_xlfn.NORM.S.INV((0.75*F26-0.125)/(F26+0.25)))</f>
        <v>2.3966236289410006</v>
      </c>
    </row>
    <row r="27" spans="1:17" ht="16" x14ac:dyDescent="0.2">
      <c r="A27" s="59">
        <v>9</v>
      </c>
      <c r="B27" s="59">
        <v>28</v>
      </c>
      <c r="C27" s="8" t="s">
        <v>80</v>
      </c>
      <c r="D27" s="7" t="s">
        <v>42</v>
      </c>
      <c r="E27" s="11" t="s">
        <v>87</v>
      </c>
      <c r="F27" s="63">
        <v>9</v>
      </c>
      <c r="G27" s="7" t="s">
        <v>89</v>
      </c>
      <c r="H27" s="7"/>
      <c r="I27" s="7"/>
      <c r="J27" s="7">
        <v>9.02</v>
      </c>
      <c r="K27" s="7">
        <v>7.25</v>
      </c>
      <c r="L27" s="7">
        <v>11.96</v>
      </c>
      <c r="M27" s="7"/>
      <c r="N27" s="7"/>
      <c r="O27" s="9" t="s">
        <v>57</v>
      </c>
      <c r="P27" s="10">
        <f>(J27+K27+L27)/3</f>
        <v>9.41</v>
      </c>
      <c r="Q27" s="6">
        <f>(L27-K27)/(2*_xlfn.NORM.S.INV((0.75*F27-0.125)/(F27+0.25)))</f>
        <v>4.1197435373401872</v>
      </c>
    </row>
    <row r="28" spans="1:17" x14ac:dyDescent="0.2">
      <c r="A28" s="59">
        <v>9</v>
      </c>
      <c r="B28" s="59">
        <v>27</v>
      </c>
      <c r="C28" s="8" t="s">
        <v>80</v>
      </c>
      <c r="D28" s="7" t="s">
        <v>42</v>
      </c>
      <c r="E28" s="7" t="s">
        <v>83</v>
      </c>
      <c r="F28" s="63">
        <v>9</v>
      </c>
      <c r="G28" s="7" t="s">
        <v>89</v>
      </c>
      <c r="H28" s="7"/>
      <c r="I28" s="7"/>
      <c r="J28" s="7">
        <v>5.0999999999999996</v>
      </c>
      <c r="K28" s="7">
        <v>4.9000000000000004</v>
      </c>
      <c r="L28" s="7">
        <v>5.69</v>
      </c>
      <c r="M28" s="7"/>
      <c r="N28" s="7"/>
      <c r="O28" s="9" t="s">
        <v>57</v>
      </c>
      <c r="P28" s="10">
        <f>(J28+K28+L28)/3</f>
        <v>5.23</v>
      </c>
      <c r="Q28" s="6">
        <f>(L28-K28)/(2*_xlfn.NORM.S.INV((0.75*F28-0.125)/(F28+0.25)))</f>
        <v>0.69099732367277011</v>
      </c>
    </row>
    <row r="29" spans="1:17" ht="16" x14ac:dyDescent="0.2">
      <c r="A29" s="59">
        <v>9</v>
      </c>
      <c r="B29" s="59">
        <v>25</v>
      </c>
      <c r="C29" s="8" t="s">
        <v>80</v>
      </c>
      <c r="D29" s="7" t="s">
        <v>42</v>
      </c>
      <c r="E29" s="7" t="s">
        <v>84</v>
      </c>
      <c r="F29" s="63">
        <v>9</v>
      </c>
      <c r="G29" s="7" t="s">
        <v>89</v>
      </c>
      <c r="H29" s="11"/>
      <c r="I29" s="7"/>
      <c r="J29" s="7">
        <v>12.94</v>
      </c>
      <c r="K29" s="7">
        <v>8.24</v>
      </c>
      <c r="L29" s="7">
        <v>14.51</v>
      </c>
      <c r="M29" s="7"/>
      <c r="N29" s="7"/>
      <c r="O29" s="9" t="s">
        <v>57</v>
      </c>
      <c r="P29" s="10">
        <f>(J29+K29+L29)/3</f>
        <v>11.896666666666667</v>
      </c>
      <c r="Q29" s="6">
        <f>(L29-K29)/(2*_xlfn.NORM.S.INV((0.75*F29-0.125)/(F29+0.25)))</f>
        <v>5.48424458155477</v>
      </c>
    </row>
    <row r="30" spans="1:17" ht="16" x14ac:dyDescent="0.2">
      <c r="A30" s="59">
        <v>10</v>
      </c>
      <c r="B30" s="59">
        <v>30</v>
      </c>
      <c r="C30" s="8" t="s">
        <v>80</v>
      </c>
      <c r="D30" s="7" t="s">
        <v>47</v>
      </c>
      <c r="E30" s="7" t="s">
        <v>81</v>
      </c>
      <c r="F30" s="63">
        <v>18</v>
      </c>
      <c r="G30" s="12" t="s">
        <v>91</v>
      </c>
      <c r="H30" s="7">
        <v>1005</v>
      </c>
      <c r="I30" s="7">
        <v>337</v>
      </c>
      <c r="J30" s="7"/>
      <c r="K30" s="7"/>
      <c r="L30" s="7"/>
      <c r="M30" s="7"/>
      <c r="N30" s="7"/>
      <c r="O30" s="8" t="s">
        <v>60</v>
      </c>
      <c r="P30" s="8">
        <f>H30</f>
        <v>1005</v>
      </c>
      <c r="Q30" s="8">
        <f>I30</f>
        <v>337</v>
      </c>
    </row>
    <row r="31" spans="1:17" ht="16" x14ac:dyDescent="0.2">
      <c r="A31" s="59">
        <v>10</v>
      </c>
      <c r="B31" s="59">
        <v>29</v>
      </c>
      <c r="C31" s="8" t="s">
        <v>80</v>
      </c>
      <c r="D31" s="7" t="s">
        <v>47</v>
      </c>
      <c r="E31" s="7" t="s">
        <v>84</v>
      </c>
      <c r="F31" s="63">
        <v>18</v>
      </c>
      <c r="G31" s="12" t="s">
        <v>91</v>
      </c>
      <c r="H31" s="7">
        <v>1109</v>
      </c>
      <c r="I31" s="7">
        <v>379</v>
      </c>
      <c r="J31" s="7"/>
      <c r="K31" s="7"/>
      <c r="L31" s="7"/>
      <c r="M31" s="7"/>
      <c r="N31" s="7"/>
      <c r="O31" s="8" t="s">
        <v>60</v>
      </c>
      <c r="P31" s="8">
        <f>H31</f>
        <v>1109</v>
      </c>
      <c r="Q31" s="8">
        <f>I31</f>
        <v>379</v>
      </c>
    </row>
    <row r="32" spans="1:17" x14ac:dyDescent="0.2">
      <c r="A32" s="59">
        <v>1</v>
      </c>
      <c r="B32" s="59">
        <v>32</v>
      </c>
      <c r="C32" s="16" t="s">
        <v>92</v>
      </c>
      <c r="D32" s="3" t="s">
        <v>12</v>
      </c>
      <c r="E32" s="3" t="s">
        <v>81</v>
      </c>
      <c r="F32" s="62">
        <v>7</v>
      </c>
      <c r="G32" s="7" t="s">
        <v>82</v>
      </c>
      <c r="H32" s="7"/>
      <c r="I32" s="7"/>
      <c r="J32" s="7">
        <v>4</v>
      </c>
      <c r="K32" s="7">
        <v>2.29</v>
      </c>
      <c r="L32" s="7">
        <v>5.94</v>
      </c>
      <c r="M32" s="7"/>
      <c r="N32" s="7"/>
      <c r="O32" s="5" t="s">
        <v>57</v>
      </c>
      <c r="P32" s="10">
        <f>(J32+K32+L32)/3</f>
        <v>4.0766666666666671</v>
      </c>
      <c r="Q32" s="6">
        <f>(L32-K32)/(2*_xlfn.NORM.S.INV((0.75*F32-0.125)/(F32+0.25)))</f>
        <v>3.352678349037713</v>
      </c>
    </row>
    <row r="33" spans="1:17" x14ac:dyDescent="0.2">
      <c r="A33" s="59">
        <v>1</v>
      </c>
      <c r="B33" s="59">
        <v>33</v>
      </c>
      <c r="C33" s="16" t="s">
        <v>92</v>
      </c>
      <c r="D33" s="7" t="s">
        <v>12</v>
      </c>
      <c r="E33" s="7" t="s">
        <v>83</v>
      </c>
      <c r="F33" s="63">
        <v>7</v>
      </c>
      <c r="G33" s="7" t="s">
        <v>82</v>
      </c>
      <c r="H33" s="7"/>
      <c r="I33" s="7"/>
      <c r="J33" s="7">
        <v>3.89</v>
      </c>
      <c r="K33" s="7">
        <v>2.42</v>
      </c>
      <c r="L33" s="7">
        <v>4.8600000000000003</v>
      </c>
      <c r="M33" s="7"/>
      <c r="N33" s="7"/>
      <c r="O33" s="9" t="s">
        <v>57</v>
      </c>
      <c r="P33" s="10">
        <f>(J33+K33+L33)/3</f>
        <v>3.723333333333334</v>
      </c>
      <c r="Q33" s="6">
        <f>(L33-K33)/(2*_xlfn.NORM.S.INV((0.75*F33-0.125)/(F33+0.25)))</f>
        <v>2.2412425127813753</v>
      </c>
    </row>
    <row r="34" spans="1:17" x14ac:dyDescent="0.2">
      <c r="A34" s="59">
        <v>1</v>
      </c>
      <c r="B34" s="59">
        <v>31</v>
      </c>
      <c r="C34" s="16" t="s">
        <v>92</v>
      </c>
      <c r="D34" s="7" t="s">
        <v>12</v>
      </c>
      <c r="E34" s="7" t="s">
        <v>84</v>
      </c>
      <c r="F34" s="63">
        <v>7</v>
      </c>
      <c r="G34" s="7" t="s">
        <v>82</v>
      </c>
      <c r="H34" s="7"/>
      <c r="I34" s="7"/>
      <c r="J34" s="7">
        <v>3.47</v>
      </c>
      <c r="K34" s="7">
        <v>2.79</v>
      </c>
      <c r="L34" s="7">
        <v>4.5999999999999996</v>
      </c>
      <c r="M34" s="7"/>
      <c r="N34" s="7"/>
      <c r="O34" s="9" t="s">
        <v>57</v>
      </c>
      <c r="P34" s="10">
        <f>(J34+K34+L34)/3</f>
        <v>3.6199999999999997</v>
      </c>
      <c r="Q34" s="6">
        <f>(L34-K34)/(2*_xlfn.NORM.S.INV((0.75*F34-0.125)/(F34+0.25)))</f>
        <v>1.6625610443173311</v>
      </c>
    </row>
    <row r="35" spans="1:17" ht="16" x14ac:dyDescent="0.2">
      <c r="A35" s="59">
        <v>2</v>
      </c>
      <c r="B35" s="59">
        <v>38</v>
      </c>
      <c r="C35" s="16" t="s">
        <v>92</v>
      </c>
      <c r="D35" s="7" t="s">
        <v>28</v>
      </c>
      <c r="E35" s="7" t="s">
        <v>81</v>
      </c>
      <c r="F35" s="70">
        <v>16</v>
      </c>
      <c r="G35" s="12" t="s">
        <v>85</v>
      </c>
      <c r="H35" s="71">
        <v>11.09</v>
      </c>
      <c r="I35" s="71">
        <v>2.95</v>
      </c>
      <c r="J35" s="7"/>
      <c r="K35" s="7"/>
      <c r="L35" s="7"/>
      <c r="M35" s="7"/>
      <c r="N35" s="7"/>
      <c r="O35" s="8" t="s">
        <v>86</v>
      </c>
      <c r="P35" s="8">
        <f t="shared" ref="P35:P52" si="2">H35</f>
        <v>11.09</v>
      </c>
      <c r="Q35" s="8">
        <f t="shared" ref="Q35:Q52" si="3">I35</f>
        <v>2.95</v>
      </c>
    </row>
    <row r="36" spans="1:17" ht="16" x14ac:dyDescent="0.2">
      <c r="A36" s="59">
        <v>2</v>
      </c>
      <c r="B36" s="59">
        <v>39</v>
      </c>
      <c r="C36" s="16" t="s">
        <v>92</v>
      </c>
      <c r="D36" s="7" t="s">
        <v>28</v>
      </c>
      <c r="E36" s="11" t="s">
        <v>87</v>
      </c>
      <c r="F36" s="70">
        <v>16</v>
      </c>
      <c r="G36" s="12" t="s">
        <v>85</v>
      </c>
      <c r="H36" s="71">
        <v>10.56</v>
      </c>
      <c r="I36" s="71">
        <v>1.27</v>
      </c>
      <c r="J36" s="7"/>
      <c r="K36" s="7"/>
      <c r="L36" s="7"/>
      <c r="M36" s="7"/>
      <c r="N36" s="7"/>
      <c r="O36" s="8" t="s">
        <v>86</v>
      </c>
      <c r="P36" s="8">
        <f t="shared" si="2"/>
        <v>10.56</v>
      </c>
      <c r="Q36" s="8">
        <f t="shared" si="3"/>
        <v>1.27</v>
      </c>
    </row>
    <row r="37" spans="1:17" ht="16" x14ac:dyDescent="0.2">
      <c r="A37" s="59">
        <v>2</v>
      </c>
      <c r="B37" s="59">
        <v>37</v>
      </c>
      <c r="C37" s="16" t="s">
        <v>92</v>
      </c>
      <c r="D37" s="7" t="s">
        <v>28</v>
      </c>
      <c r="E37" s="7" t="s">
        <v>84</v>
      </c>
      <c r="F37" s="70">
        <v>16</v>
      </c>
      <c r="G37" s="12" t="s">
        <v>85</v>
      </c>
      <c r="H37" s="71">
        <v>10.08</v>
      </c>
      <c r="I37" s="69">
        <v>1.37</v>
      </c>
      <c r="J37" s="7"/>
      <c r="K37" s="7"/>
      <c r="L37" s="7"/>
      <c r="M37" s="7"/>
      <c r="N37" s="7"/>
      <c r="O37" s="8" t="s">
        <v>86</v>
      </c>
      <c r="P37" s="8">
        <f t="shared" si="2"/>
        <v>10.08</v>
      </c>
      <c r="Q37" s="8">
        <f t="shared" si="3"/>
        <v>1.37</v>
      </c>
    </row>
    <row r="38" spans="1:17" ht="16" x14ac:dyDescent="0.2">
      <c r="A38" s="59">
        <v>3</v>
      </c>
      <c r="B38" s="59">
        <v>41</v>
      </c>
      <c r="C38" s="16" t="s">
        <v>92</v>
      </c>
      <c r="D38" s="7" t="s">
        <v>32</v>
      </c>
      <c r="E38" s="7" t="s">
        <v>81</v>
      </c>
      <c r="F38" s="63">
        <v>9</v>
      </c>
      <c r="G38" s="12" t="s">
        <v>85</v>
      </c>
      <c r="H38" s="71">
        <v>10.3</v>
      </c>
      <c r="I38" s="71">
        <v>0.62</v>
      </c>
      <c r="J38" s="7"/>
      <c r="K38" s="7"/>
      <c r="L38" s="7"/>
      <c r="M38" s="7"/>
      <c r="N38" s="7"/>
      <c r="O38" s="8" t="s">
        <v>86</v>
      </c>
      <c r="P38" s="8">
        <f t="shared" si="2"/>
        <v>10.3</v>
      </c>
      <c r="Q38" s="8">
        <f t="shared" si="3"/>
        <v>0.62</v>
      </c>
    </row>
    <row r="39" spans="1:17" ht="16" x14ac:dyDescent="0.2">
      <c r="A39" s="59">
        <v>3</v>
      </c>
      <c r="B39" s="59">
        <v>42</v>
      </c>
      <c r="C39" s="16" t="s">
        <v>92</v>
      </c>
      <c r="D39" s="7" t="s">
        <v>32</v>
      </c>
      <c r="E39" s="11" t="s">
        <v>87</v>
      </c>
      <c r="F39" s="63">
        <v>9</v>
      </c>
      <c r="G39" s="12" t="s">
        <v>85</v>
      </c>
      <c r="H39" s="71">
        <v>10.75</v>
      </c>
      <c r="I39" s="71">
        <v>0.88</v>
      </c>
      <c r="J39" s="7"/>
      <c r="K39" s="7"/>
      <c r="L39" s="7"/>
      <c r="M39" s="7"/>
      <c r="N39" s="7"/>
      <c r="O39" s="8" t="s">
        <v>86</v>
      </c>
      <c r="P39" s="8">
        <f t="shared" si="2"/>
        <v>10.75</v>
      </c>
      <c r="Q39" s="8">
        <f t="shared" si="3"/>
        <v>0.88</v>
      </c>
    </row>
    <row r="40" spans="1:17" ht="16" x14ac:dyDescent="0.2">
      <c r="A40" s="59">
        <v>3</v>
      </c>
      <c r="B40" s="59">
        <v>40</v>
      </c>
      <c r="C40" s="16" t="s">
        <v>92</v>
      </c>
      <c r="D40" s="7" t="s">
        <v>32</v>
      </c>
      <c r="E40" s="7" t="s">
        <v>84</v>
      </c>
      <c r="F40" s="63">
        <v>9</v>
      </c>
      <c r="G40" s="12" t="s">
        <v>85</v>
      </c>
      <c r="H40" s="71">
        <v>10.43</v>
      </c>
      <c r="I40" s="71">
        <v>1.3</v>
      </c>
      <c r="J40" s="7"/>
      <c r="K40" s="7"/>
      <c r="L40" s="7"/>
      <c r="M40" s="7"/>
      <c r="N40" s="7"/>
      <c r="O40" s="8" t="s">
        <v>86</v>
      </c>
      <c r="P40" s="8">
        <f t="shared" si="2"/>
        <v>10.43</v>
      </c>
      <c r="Q40" s="8">
        <f t="shared" si="3"/>
        <v>1.3</v>
      </c>
    </row>
    <row r="41" spans="1:17" ht="16" x14ac:dyDescent="0.2">
      <c r="A41" s="59">
        <v>4</v>
      </c>
      <c r="B41" s="59">
        <v>44</v>
      </c>
      <c r="C41" s="16" t="s">
        <v>92</v>
      </c>
      <c r="D41" s="7" t="s">
        <v>35</v>
      </c>
      <c r="E41" s="7" t="s">
        <v>81</v>
      </c>
      <c r="F41" s="63">
        <v>16</v>
      </c>
      <c r="G41" s="12" t="s">
        <v>85</v>
      </c>
      <c r="H41" s="7">
        <v>12.45</v>
      </c>
      <c r="I41" s="7">
        <v>1.86</v>
      </c>
      <c r="J41" s="7"/>
      <c r="K41" s="7"/>
      <c r="L41" s="7"/>
      <c r="M41" s="7"/>
      <c r="N41" s="7"/>
      <c r="O41" s="8" t="s">
        <v>86</v>
      </c>
      <c r="P41" s="8">
        <f t="shared" si="2"/>
        <v>12.45</v>
      </c>
      <c r="Q41" s="8">
        <f t="shared" si="3"/>
        <v>1.86</v>
      </c>
    </row>
    <row r="42" spans="1:17" ht="16" x14ac:dyDescent="0.2">
      <c r="A42" s="59">
        <v>4</v>
      </c>
      <c r="B42" s="59">
        <v>45</v>
      </c>
      <c r="C42" s="16" t="s">
        <v>92</v>
      </c>
      <c r="D42" s="7" t="s">
        <v>35</v>
      </c>
      <c r="E42" s="11" t="s">
        <v>87</v>
      </c>
      <c r="F42" s="63">
        <v>16</v>
      </c>
      <c r="G42" s="12" t="s">
        <v>85</v>
      </c>
      <c r="H42" s="7">
        <v>13.73</v>
      </c>
      <c r="I42" s="7">
        <v>3.23</v>
      </c>
      <c r="J42" s="7"/>
      <c r="K42" s="7"/>
      <c r="L42" s="7"/>
      <c r="M42" s="7"/>
      <c r="N42" s="7"/>
      <c r="O42" s="8" t="s">
        <v>86</v>
      </c>
      <c r="P42" s="8">
        <f t="shared" si="2"/>
        <v>13.73</v>
      </c>
      <c r="Q42" s="8">
        <f t="shared" si="3"/>
        <v>3.23</v>
      </c>
    </row>
    <row r="43" spans="1:17" ht="16" x14ac:dyDescent="0.2">
      <c r="A43" s="59">
        <v>4</v>
      </c>
      <c r="B43" s="59">
        <v>43</v>
      </c>
      <c r="C43" s="16" t="s">
        <v>92</v>
      </c>
      <c r="D43" s="7" t="s">
        <v>35</v>
      </c>
      <c r="E43" s="7" t="s">
        <v>84</v>
      </c>
      <c r="F43" s="63">
        <v>16</v>
      </c>
      <c r="G43" s="12" t="s">
        <v>85</v>
      </c>
      <c r="H43" s="7">
        <v>10.11</v>
      </c>
      <c r="I43" s="7">
        <v>1.01</v>
      </c>
      <c r="J43" s="7"/>
      <c r="K43" s="7"/>
      <c r="L43" s="7"/>
      <c r="M43" s="7"/>
      <c r="N43" s="7"/>
      <c r="O43" s="8" t="s">
        <v>86</v>
      </c>
      <c r="P43" s="8">
        <f t="shared" si="2"/>
        <v>10.11</v>
      </c>
      <c r="Q43" s="8">
        <f t="shared" si="3"/>
        <v>1.01</v>
      </c>
    </row>
    <row r="44" spans="1:17" ht="16" x14ac:dyDescent="0.2">
      <c r="A44" s="59">
        <v>5</v>
      </c>
      <c r="B44" s="59">
        <v>47</v>
      </c>
      <c r="C44" s="16" t="s">
        <v>92</v>
      </c>
      <c r="D44" s="7" t="s">
        <v>38</v>
      </c>
      <c r="E44" s="7" t="s">
        <v>81</v>
      </c>
      <c r="F44" s="63">
        <v>16</v>
      </c>
      <c r="G44" s="12" t="s">
        <v>85</v>
      </c>
      <c r="H44" s="7">
        <v>13.67</v>
      </c>
      <c r="I44" s="7">
        <v>2.71</v>
      </c>
      <c r="J44" s="7"/>
      <c r="K44" s="7"/>
      <c r="L44" s="7"/>
      <c r="M44" s="7"/>
      <c r="N44" s="7"/>
      <c r="O44" s="8" t="s">
        <v>86</v>
      </c>
      <c r="P44" s="8">
        <f t="shared" si="2"/>
        <v>13.67</v>
      </c>
      <c r="Q44" s="8">
        <f t="shared" si="3"/>
        <v>2.71</v>
      </c>
    </row>
    <row r="45" spans="1:17" ht="16" x14ac:dyDescent="0.2">
      <c r="A45" s="59">
        <v>5</v>
      </c>
      <c r="B45" s="59">
        <v>48</v>
      </c>
      <c r="C45" s="16" t="s">
        <v>92</v>
      </c>
      <c r="D45" s="7" t="s">
        <v>38</v>
      </c>
      <c r="E45" s="11" t="s">
        <v>87</v>
      </c>
      <c r="F45" s="63">
        <v>16</v>
      </c>
      <c r="G45" s="12" t="s">
        <v>85</v>
      </c>
      <c r="H45" s="7">
        <v>14.22</v>
      </c>
      <c r="I45" s="7">
        <v>2.66</v>
      </c>
      <c r="J45" s="7"/>
      <c r="K45" s="7"/>
      <c r="L45" s="7"/>
      <c r="M45" s="7"/>
      <c r="N45" s="7"/>
      <c r="O45" s="8" t="s">
        <v>86</v>
      </c>
      <c r="P45" s="8">
        <f t="shared" si="2"/>
        <v>14.22</v>
      </c>
      <c r="Q45" s="8">
        <f t="shared" si="3"/>
        <v>2.66</v>
      </c>
    </row>
    <row r="46" spans="1:17" ht="16" x14ac:dyDescent="0.2">
      <c r="A46" s="59">
        <v>5</v>
      </c>
      <c r="B46" s="59">
        <v>46</v>
      </c>
      <c r="C46" s="16" t="s">
        <v>92</v>
      </c>
      <c r="D46" s="7" t="s">
        <v>38</v>
      </c>
      <c r="E46" s="7" t="s">
        <v>84</v>
      </c>
      <c r="F46" s="63">
        <v>16</v>
      </c>
      <c r="G46" s="12" t="s">
        <v>85</v>
      </c>
      <c r="H46" s="7">
        <v>10.83</v>
      </c>
      <c r="I46" s="7">
        <v>2.84</v>
      </c>
      <c r="J46" s="7"/>
      <c r="K46" s="7"/>
      <c r="L46" s="7"/>
      <c r="M46" s="7"/>
      <c r="N46" s="7"/>
      <c r="O46" s="8" t="s">
        <v>86</v>
      </c>
      <c r="P46" s="8">
        <f t="shared" si="2"/>
        <v>10.83</v>
      </c>
      <c r="Q46" s="8">
        <f t="shared" si="3"/>
        <v>2.84</v>
      </c>
    </row>
    <row r="47" spans="1:17" ht="16" x14ac:dyDescent="0.2">
      <c r="A47" s="59">
        <v>6</v>
      </c>
      <c r="B47" s="59">
        <v>50</v>
      </c>
      <c r="C47" s="16" t="s">
        <v>92</v>
      </c>
      <c r="D47" s="7" t="s">
        <v>40</v>
      </c>
      <c r="E47" s="7" t="s">
        <v>81</v>
      </c>
      <c r="F47" s="63">
        <v>16</v>
      </c>
      <c r="G47" s="12" t="s">
        <v>85</v>
      </c>
      <c r="H47" s="7">
        <v>11.6</v>
      </c>
      <c r="I47" s="7">
        <v>2.5</v>
      </c>
      <c r="J47" s="7"/>
      <c r="K47" s="7"/>
      <c r="L47" s="7"/>
      <c r="M47" s="7"/>
      <c r="N47" s="7"/>
      <c r="O47" s="8" t="s">
        <v>86</v>
      </c>
      <c r="P47" s="8">
        <f t="shared" si="2"/>
        <v>11.6</v>
      </c>
      <c r="Q47" s="8">
        <f t="shared" si="3"/>
        <v>2.5</v>
      </c>
    </row>
    <row r="48" spans="1:17" ht="16" x14ac:dyDescent="0.2">
      <c r="A48" s="59">
        <v>6</v>
      </c>
      <c r="B48" s="59">
        <v>51</v>
      </c>
      <c r="C48" s="16" t="s">
        <v>92</v>
      </c>
      <c r="D48" s="7" t="s">
        <v>40</v>
      </c>
      <c r="E48" s="11" t="s">
        <v>87</v>
      </c>
      <c r="F48" s="63">
        <v>16</v>
      </c>
      <c r="G48" s="12" t="s">
        <v>85</v>
      </c>
      <c r="H48" s="7">
        <v>13.67</v>
      </c>
      <c r="I48" s="7">
        <v>2.56</v>
      </c>
      <c r="J48" s="7"/>
      <c r="K48" s="7"/>
      <c r="L48" s="7"/>
      <c r="M48" s="7"/>
      <c r="N48" s="7"/>
      <c r="O48" s="8" t="s">
        <v>86</v>
      </c>
      <c r="P48" s="8">
        <f t="shared" si="2"/>
        <v>13.67</v>
      </c>
      <c r="Q48" s="8">
        <f t="shared" si="3"/>
        <v>2.56</v>
      </c>
    </row>
    <row r="49" spans="1:17" ht="16" x14ac:dyDescent="0.2">
      <c r="A49" s="59">
        <v>6</v>
      </c>
      <c r="B49" s="59">
        <v>49</v>
      </c>
      <c r="C49" s="16" t="s">
        <v>92</v>
      </c>
      <c r="D49" s="7" t="s">
        <v>40</v>
      </c>
      <c r="E49" s="7" t="s">
        <v>84</v>
      </c>
      <c r="F49" s="63">
        <v>16</v>
      </c>
      <c r="G49" s="12" t="s">
        <v>85</v>
      </c>
      <c r="H49" s="7">
        <v>11.71</v>
      </c>
      <c r="I49" s="7">
        <v>2.85</v>
      </c>
      <c r="J49" s="7"/>
      <c r="K49" s="7"/>
      <c r="L49" s="7"/>
      <c r="M49" s="7"/>
      <c r="N49" s="7"/>
      <c r="O49" s="8" t="s">
        <v>86</v>
      </c>
      <c r="P49" s="8">
        <f t="shared" si="2"/>
        <v>11.71</v>
      </c>
      <c r="Q49" s="8">
        <f t="shared" si="3"/>
        <v>2.85</v>
      </c>
    </row>
    <row r="50" spans="1:17" ht="16" x14ac:dyDescent="0.2">
      <c r="A50" s="59">
        <v>7</v>
      </c>
      <c r="B50" s="59">
        <v>35</v>
      </c>
      <c r="C50" s="16" t="s">
        <v>92</v>
      </c>
      <c r="D50" s="7" t="s">
        <v>88</v>
      </c>
      <c r="E50" s="7" t="s">
        <v>81</v>
      </c>
      <c r="F50" s="64">
        <v>14</v>
      </c>
      <c r="G50" s="12" t="s">
        <v>85</v>
      </c>
      <c r="H50" s="65">
        <v>11.47</v>
      </c>
      <c r="I50" s="65">
        <v>2.72</v>
      </c>
      <c r="J50" s="7"/>
      <c r="K50" s="7"/>
      <c r="L50" s="7"/>
      <c r="M50" s="7"/>
      <c r="N50" s="7"/>
      <c r="O50" s="8" t="s">
        <v>86</v>
      </c>
      <c r="P50" s="8">
        <f t="shared" si="2"/>
        <v>11.47</v>
      </c>
      <c r="Q50" s="8">
        <f t="shared" si="3"/>
        <v>2.72</v>
      </c>
    </row>
    <row r="51" spans="1:17" ht="16" x14ac:dyDescent="0.2">
      <c r="A51" s="59">
        <v>7</v>
      </c>
      <c r="B51" s="59">
        <v>36</v>
      </c>
      <c r="C51" s="16" t="s">
        <v>92</v>
      </c>
      <c r="D51" s="7" t="s">
        <v>88</v>
      </c>
      <c r="E51" s="11" t="s">
        <v>87</v>
      </c>
      <c r="F51" s="64">
        <v>14</v>
      </c>
      <c r="G51" s="12" t="s">
        <v>85</v>
      </c>
      <c r="H51" s="65">
        <v>13.58</v>
      </c>
      <c r="I51" s="66">
        <v>3.13</v>
      </c>
      <c r="J51" s="7"/>
      <c r="K51" s="7"/>
      <c r="L51" s="7"/>
      <c r="M51" s="7"/>
      <c r="N51" s="7"/>
      <c r="O51" s="8" t="s">
        <v>86</v>
      </c>
      <c r="P51" s="8">
        <f t="shared" si="2"/>
        <v>13.58</v>
      </c>
      <c r="Q51" s="8">
        <f t="shared" si="3"/>
        <v>3.13</v>
      </c>
    </row>
    <row r="52" spans="1:17" ht="16" x14ac:dyDescent="0.2">
      <c r="A52" s="59">
        <v>7</v>
      </c>
      <c r="B52" s="59">
        <v>34</v>
      </c>
      <c r="C52" s="16" t="s">
        <v>92</v>
      </c>
      <c r="D52" s="7" t="s">
        <v>88</v>
      </c>
      <c r="E52" s="7" t="s">
        <v>84</v>
      </c>
      <c r="F52" s="64">
        <v>14</v>
      </c>
      <c r="G52" s="12" t="s">
        <v>85</v>
      </c>
      <c r="H52" s="65">
        <v>14.84</v>
      </c>
      <c r="I52" s="65">
        <v>6.87</v>
      </c>
      <c r="J52" s="7"/>
      <c r="K52" s="7"/>
      <c r="L52" s="7"/>
      <c r="M52" s="7"/>
      <c r="N52" s="7"/>
      <c r="O52" s="8" t="s">
        <v>86</v>
      </c>
      <c r="P52" s="8">
        <f t="shared" si="2"/>
        <v>14.84</v>
      </c>
      <c r="Q52" s="8">
        <f t="shared" si="3"/>
        <v>6.87</v>
      </c>
    </row>
    <row r="53" spans="1:17" ht="16" x14ac:dyDescent="0.2">
      <c r="A53" s="59">
        <v>8</v>
      </c>
      <c r="B53" s="59">
        <v>53</v>
      </c>
      <c r="C53" s="16" t="s">
        <v>92</v>
      </c>
      <c r="D53" s="7" t="s">
        <v>26</v>
      </c>
      <c r="E53" s="7" t="s">
        <v>81</v>
      </c>
      <c r="F53" s="63">
        <v>3</v>
      </c>
      <c r="G53" s="11" t="s">
        <v>89</v>
      </c>
      <c r="H53" s="7"/>
      <c r="I53" s="7"/>
      <c r="J53" s="7">
        <v>0.82</v>
      </c>
      <c r="K53" s="7"/>
      <c r="L53" s="7"/>
      <c r="M53" s="7">
        <v>0.76</v>
      </c>
      <c r="N53" s="7">
        <v>0.93</v>
      </c>
      <c r="O53" s="13" t="s">
        <v>90</v>
      </c>
      <c r="P53" s="14">
        <f>(M53+2*J53+N53)/4</f>
        <v>0.83250000000000002</v>
      </c>
      <c r="Q53" s="15">
        <f>(N53-M53)/(2*_xlfn.NORM.S.INV((F53-0.375)/(F53+0.25)))</f>
        <v>9.776590267190316E-2</v>
      </c>
    </row>
    <row r="54" spans="1:17" ht="16" x14ac:dyDescent="0.2">
      <c r="A54" s="59">
        <v>8</v>
      </c>
      <c r="B54" s="59">
        <v>54</v>
      </c>
      <c r="C54" s="16" t="s">
        <v>92</v>
      </c>
      <c r="D54" s="7" t="s">
        <v>26</v>
      </c>
      <c r="E54" s="11" t="s">
        <v>87</v>
      </c>
      <c r="F54" s="63">
        <v>3</v>
      </c>
      <c r="G54" s="7" t="s">
        <v>89</v>
      </c>
      <c r="H54" s="7"/>
      <c r="I54" s="7"/>
      <c r="J54" s="7">
        <v>0.59</v>
      </c>
      <c r="K54" s="7"/>
      <c r="L54" s="7"/>
      <c r="M54" s="7">
        <v>0.53</v>
      </c>
      <c r="N54" s="7">
        <v>0.65</v>
      </c>
      <c r="O54" s="13" t="s">
        <v>90</v>
      </c>
      <c r="P54" s="14">
        <f>(M54+2*J54+N54)/4</f>
        <v>0.59</v>
      </c>
      <c r="Q54" s="15">
        <f>(N54-M54)/(2*_xlfn.NORM.S.INV((F54-0.375)/(F54+0.25)))</f>
        <v>6.9011225415461036E-2</v>
      </c>
    </row>
    <row r="55" spans="1:17" x14ac:dyDescent="0.2">
      <c r="A55" s="59">
        <v>8</v>
      </c>
      <c r="B55" s="59">
        <v>52</v>
      </c>
      <c r="C55" s="16" t="s">
        <v>92</v>
      </c>
      <c r="D55" s="7" t="s">
        <v>26</v>
      </c>
      <c r="E55" s="7" t="s">
        <v>84</v>
      </c>
      <c r="F55" s="63">
        <v>3</v>
      </c>
      <c r="G55" s="7" t="s">
        <v>89</v>
      </c>
      <c r="H55" s="7"/>
      <c r="I55" s="7"/>
      <c r="J55" s="7">
        <v>2.58</v>
      </c>
      <c r="K55" s="7"/>
      <c r="L55" s="7"/>
      <c r="M55" s="7">
        <v>2.29</v>
      </c>
      <c r="N55" s="7">
        <v>2.82</v>
      </c>
      <c r="O55" s="13" t="s">
        <v>90</v>
      </c>
      <c r="P55" s="14">
        <f>(M55+2*J55+N55)/4</f>
        <v>2.5674999999999999</v>
      </c>
      <c r="Q55" s="15">
        <f>(N55-M55)/(2*_xlfn.NORM.S.INV((F55-0.375)/(F55+0.25)))</f>
        <v>0.30479957891828618</v>
      </c>
    </row>
    <row r="56" spans="1:17" x14ac:dyDescent="0.2">
      <c r="A56" s="59">
        <v>9</v>
      </c>
      <c r="B56" s="59">
        <v>56</v>
      </c>
      <c r="C56" s="16" t="s">
        <v>92</v>
      </c>
      <c r="D56" s="7" t="s">
        <v>42</v>
      </c>
      <c r="E56" s="7" t="s">
        <v>81</v>
      </c>
      <c r="F56" s="63">
        <v>9</v>
      </c>
      <c r="G56" s="7" t="s">
        <v>89</v>
      </c>
      <c r="H56" s="7"/>
      <c r="I56" s="7"/>
      <c r="J56" s="7">
        <v>1.54</v>
      </c>
      <c r="K56" s="7">
        <v>1.18</v>
      </c>
      <c r="L56" s="7">
        <v>1.71</v>
      </c>
      <c r="M56" s="7"/>
      <c r="N56" s="7"/>
      <c r="O56" s="9" t="s">
        <v>57</v>
      </c>
      <c r="P56" s="10">
        <f>(J56+K56+L56)/3</f>
        <v>1.4766666666666666</v>
      </c>
      <c r="Q56" s="6">
        <f>(L56-K56)/(2*_xlfn.NORM.S.INV((0.75*F56-0.125)/(F56+0.25)))</f>
        <v>0.46358048297033949</v>
      </c>
    </row>
    <row r="57" spans="1:17" ht="16" x14ac:dyDescent="0.2">
      <c r="A57" s="59">
        <v>9</v>
      </c>
      <c r="B57" s="59">
        <v>58</v>
      </c>
      <c r="C57" s="16" t="s">
        <v>92</v>
      </c>
      <c r="D57" s="7" t="s">
        <v>42</v>
      </c>
      <c r="E57" s="11" t="s">
        <v>87</v>
      </c>
      <c r="F57" s="63">
        <v>9</v>
      </c>
      <c r="G57" s="7" t="s">
        <v>89</v>
      </c>
      <c r="H57" s="7"/>
      <c r="I57" s="7"/>
      <c r="J57" s="7">
        <v>1.46</v>
      </c>
      <c r="K57" s="7">
        <v>1.21</v>
      </c>
      <c r="L57" s="7">
        <v>2.69</v>
      </c>
      <c r="M57" s="7"/>
      <c r="N57" s="7"/>
      <c r="O57" s="9" t="s">
        <v>57</v>
      </c>
      <c r="P57" s="10">
        <f>(J57+K57+L57)/3</f>
        <v>1.7866666666666664</v>
      </c>
      <c r="Q57" s="6">
        <f>(L57-K57)/(2*_xlfn.NORM.S.INV((0.75*F57-0.125)/(F57+0.25)))</f>
        <v>1.2945266316907591</v>
      </c>
    </row>
    <row r="58" spans="1:17" x14ac:dyDescent="0.2">
      <c r="A58" s="59">
        <v>9</v>
      </c>
      <c r="B58" s="59">
        <v>57</v>
      </c>
      <c r="C58" s="16" t="s">
        <v>92</v>
      </c>
      <c r="D58" s="7" t="s">
        <v>42</v>
      </c>
      <c r="E58" s="7" t="s">
        <v>83</v>
      </c>
      <c r="F58" s="63">
        <v>9</v>
      </c>
      <c r="G58" s="7" t="s">
        <v>89</v>
      </c>
      <c r="H58" s="7"/>
      <c r="I58" s="7"/>
      <c r="J58" s="7">
        <v>1.28</v>
      </c>
      <c r="K58" s="7">
        <v>0.95</v>
      </c>
      <c r="L58" s="7">
        <v>2.06</v>
      </c>
      <c r="M58" s="7"/>
      <c r="N58" s="7"/>
      <c r="O58" s="9" t="s">
        <v>57</v>
      </c>
      <c r="P58" s="10">
        <f>(J58+K58+L58)/3</f>
        <v>1.43</v>
      </c>
      <c r="Q58" s="6">
        <f>(L58-K58)/(2*_xlfn.NORM.S.INV((0.75*F58-0.125)/(F58+0.25)))</f>
        <v>0.97089497376806955</v>
      </c>
    </row>
    <row r="59" spans="1:17" x14ac:dyDescent="0.2">
      <c r="A59" s="59">
        <v>9</v>
      </c>
      <c r="B59" s="59">
        <v>55</v>
      </c>
      <c r="C59" s="16" t="s">
        <v>92</v>
      </c>
      <c r="D59" s="7" t="s">
        <v>42</v>
      </c>
      <c r="E59" s="7" t="s">
        <v>84</v>
      </c>
      <c r="F59" s="63">
        <v>9</v>
      </c>
      <c r="G59" s="7" t="s">
        <v>89</v>
      </c>
      <c r="H59" s="7"/>
      <c r="I59" s="7"/>
      <c r="J59" s="7">
        <v>1.33</v>
      </c>
      <c r="K59" s="7">
        <v>1.21</v>
      </c>
      <c r="L59" s="7">
        <v>1.68</v>
      </c>
      <c r="M59" s="7"/>
      <c r="N59" s="7"/>
      <c r="O59" s="9" t="s">
        <v>57</v>
      </c>
      <c r="P59" s="10">
        <f>(J59+K59+L59)/3</f>
        <v>1.4066666666666665</v>
      </c>
      <c r="Q59" s="6">
        <f>(L59-K59)/(2*_xlfn.NORM.S.INV((0.75*F59-0.125)/(F59+0.25)))</f>
        <v>0.41109967357747079</v>
      </c>
    </row>
    <row r="60" spans="1:17" ht="16" x14ac:dyDescent="0.2">
      <c r="A60" s="59">
        <v>10</v>
      </c>
      <c r="B60" s="59">
        <v>60</v>
      </c>
      <c r="C60" s="16" t="s">
        <v>92</v>
      </c>
      <c r="D60" s="7" t="s">
        <v>47</v>
      </c>
      <c r="E60" s="7" t="s">
        <v>81</v>
      </c>
      <c r="F60" s="63">
        <v>18</v>
      </c>
      <c r="G60" s="12" t="s">
        <v>91</v>
      </c>
      <c r="H60" s="7">
        <v>808</v>
      </c>
      <c r="I60" s="7">
        <v>194</v>
      </c>
      <c r="J60" s="7"/>
      <c r="K60" s="7"/>
      <c r="L60" s="7"/>
      <c r="M60" s="7"/>
      <c r="N60" s="7"/>
      <c r="O60" s="8" t="s">
        <v>60</v>
      </c>
      <c r="P60" s="8">
        <f>H60</f>
        <v>808</v>
      </c>
      <c r="Q60" s="8">
        <f>I60</f>
        <v>194</v>
      </c>
    </row>
    <row r="61" spans="1:17" ht="16" x14ac:dyDescent="0.2">
      <c r="A61" s="59">
        <v>10</v>
      </c>
      <c r="B61" s="59">
        <v>59</v>
      </c>
      <c r="C61" s="16" t="s">
        <v>92</v>
      </c>
      <c r="D61" s="7" t="s">
        <v>47</v>
      </c>
      <c r="E61" s="7" t="s">
        <v>84</v>
      </c>
      <c r="F61" s="63">
        <v>18</v>
      </c>
      <c r="G61" s="12" t="s">
        <v>91</v>
      </c>
      <c r="H61" s="7">
        <v>651</v>
      </c>
      <c r="I61" s="7">
        <v>143</v>
      </c>
      <c r="J61" s="7"/>
      <c r="K61" s="7"/>
      <c r="L61" s="7"/>
      <c r="M61" s="7"/>
      <c r="N61" s="7"/>
      <c r="O61" s="8" t="s">
        <v>60</v>
      </c>
      <c r="P61" s="8">
        <f>H61</f>
        <v>651</v>
      </c>
      <c r="Q61" s="8">
        <f>I61</f>
        <v>143</v>
      </c>
    </row>
  </sheetData>
  <sortState xmlns:xlrd2="http://schemas.microsoft.com/office/spreadsheetml/2017/richdata2" ref="A2:Q63">
    <sortCondition ref="C1:C63"/>
  </sortState>
  <phoneticPr fontId="3" type="noConversion"/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General Information</vt:lpstr>
      <vt:lpstr>README</vt:lpstr>
      <vt:lpstr>Estimated_means_sd</vt:lpstr>
      <vt:lpstr>RatioTable</vt:lpstr>
      <vt:lpstr>Th1_pre_post</vt:lpstr>
      <vt:lpstr>Th1_pre_post2h</vt:lpstr>
      <vt:lpstr>Th1_pre_post17h</vt:lpstr>
      <vt:lpstr>Th2_pre_post</vt:lpstr>
      <vt:lpstr>Th2_pre_post2h</vt:lpstr>
      <vt:lpstr>Th2_pre_post17h</vt:lpstr>
      <vt:lpstr>Ratio_pre_post</vt:lpstr>
      <vt:lpstr>Ratio_pre_post2h</vt:lpstr>
      <vt:lpstr>Ratio_pre_post17h</vt:lpstr>
      <vt:lpstr>Effsize_large</vt:lpstr>
      <vt:lpstr>ArchiveEstimates means SDs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Javelle, Florian</dc:creator>
  <cp:keywords/>
  <dc:description/>
  <cp:lastModifiedBy>Finn Dreisigacker</cp:lastModifiedBy>
  <cp:revision/>
  <dcterms:created xsi:type="dcterms:W3CDTF">2026-02-25T16:06:02Z</dcterms:created>
  <dcterms:modified xsi:type="dcterms:W3CDTF">2026-05-13T14:10:12Z</dcterms:modified>
  <cp:category/>
  <cp:contentStatus/>
</cp:coreProperties>
</file>